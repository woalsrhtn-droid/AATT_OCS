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Management Overview" sheetId="1" state="visible" r:id="rId1"/>
    <sheet xmlns:r="http://schemas.openxmlformats.org/officeDocument/2006/relationships" name="Daily Training Plan" sheetId="2" state="visible" r:id="rId2"/>
    <sheet xmlns:r="http://schemas.openxmlformats.org/officeDocument/2006/relationships" name="Assessment Tracker" sheetId="3" state="visible" r:id="rId3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2">
    <numFmt numFmtId="164" formatCode="dd\ mmm\ yyyy"/>
    <numFmt numFmtId="165" formatCode="ddd\,\ dd\ mmm"/>
  </numFmts>
  <fonts count="6">
    <font>
      <name val="Carlito"/>
      <sz val="11"/>
    </font>
    <font>
      <name val="Arial"/>
      <color rgb="FF223449"/>
      <sz val="11"/>
    </font>
    <font>
      <name val="Arial"/>
      <b val="1"/>
      <color rgb="FF18334F"/>
      <sz val="17"/>
    </font>
    <font>
      <name val="Arial"/>
      <b val="1"/>
      <color rgb="FF223449"/>
      <sz val="11"/>
    </font>
    <font>
      <name val="Arial"/>
      <b val="1"/>
      <color rgb="FFFFFFFF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18334F"/>
      </patternFill>
    </fill>
    <fill>
      <patternFill patternType="solid">
        <fgColor rgb="FFEAF1F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5" fillId="0" borderId="0"/>
    <xf numFmtId="0" fontId="5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 wrapText="1"/>
    </xf>
    <xf numFmtId="0" fontId="4" fillId="2" borderId="0" applyAlignment="1" pivotButton="0" quotePrefix="0" xfId="1">
      <alignment vertical="center" wrapText="1"/>
    </xf>
    <xf numFmtId="0" fontId="1" fillId="3" borderId="0" applyAlignment="1" pivotButton="0" quotePrefix="0" xfId="1">
      <alignment vertical="center" wrapText="1"/>
    </xf>
    <xf numFmtId="164" fontId="1" fillId="0" borderId="0" applyAlignment="1" pivotButton="0" quotePrefix="0" xfId="1">
      <alignment vertical="center"/>
    </xf>
    <xf numFmtId="0" fontId="1" fillId="4" borderId="0" applyAlignment="1" pivotButton="0" quotePrefix="0" xfId="1">
      <alignment vertical="center" wrapText="1"/>
    </xf>
    <xf numFmtId="0" fontId="1" fillId="3" borderId="0" applyAlignment="1" pivotButton="0" quotePrefix="0" xfId="1">
      <alignment vertical="center"/>
    </xf>
    <xf numFmtId="165" fontId="1" fillId="3" borderId="0" applyAlignment="1" pivotButton="0" quotePrefix="0" xfId="1">
      <alignment vertical="center"/>
    </xf>
    <xf numFmtId="165" fontId="1" fillId="0" borderId="0" applyAlignment="1" pivotButton="0" quotePrefix="0" xfId="1">
      <alignment vertical="center"/>
    </xf>
    <xf numFmtId="0" fontId="1" fillId="4" borderId="0" applyAlignment="1" pivotButton="0" quotePrefix="0" xfId="1">
      <alignment vertical="center"/>
    </xf>
    <xf numFmtId="164" fontId="1" fillId="4" borderId="0" applyAlignment="1" pivotButton="0" quotePrefix="0" xfId="1">
      <alignment vertical="center" wrapText="1"/>
    </xf>
    <xf numFmtId="0" fontId="3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 wrapText="1"/>
    </xf>
    <xf numFmtId="0" fontId="1" fillId="3" borderId="0" applyAlignment="1" pivotButton="0" quotePrefix="0" xfId="1">
      <alignment vertical="center" wrapText="1"/>
    </xf>
    <xf numFmtId="0" fontId="4" fillId="2" borderId="0" applyAlignment="1" pivotButton="0" quotePrefix="0" xfId="1">
      <alignment vertical="center" wrapText="1"/>
    </xf>
    <xf numFmtId="0" fontId="2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</cellXfs>
  <cellStyles count="2">
    <cellStyle name="표준" xfId="0" builtinId="0"/>
    <cellStyle name="Normal" xfId="1"/>
  </cellStyles>
  <dxfs count="1">
    <dxf>
      <font>
        <color rgb="FF9C2800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8334F"/>
    <outlinePr summaryBelow="1" summaryRight="1"/>
    <pageSetUpPr/>
  </sheetPr>
  <dimension ref="A1:F31"/>
  <sheetViews>
    <sheetView showGridLines="0" tabSelected="1" workbookViewId="0">
      <selection activeCell="A1" sqref="A1"/>
    </sheetView>
  </sheetViews>
  <sheetFormatPr baseColWidth="8" defaultRowHeight="15"/>
  <cols>
    <col width="21.625" customWidth="1" min="1" max="1"/>
    <col width="42.75" customWidth="1" min="2" max="2"/>
    <col width="15" customWidth="1" min="3" max="3"/>
    <col width="33.375" customWidth="1" min="4" max="4"/>
    <col width="13.875" customWidth="1" min="5" max="5"/>
    <col width="21.625" customWidth="1" min="6" max="6"/>
  </cols>
  <sheetData>
    <row r="1" ht="27" customHeight="1">
      <c r="A1" s="17" t="n"/>
      <c r="B1" s="17" t="n"/>
      <c r="C1" s="17" t="n"/>
      <c r="D1" s="17" t="n"/>
      <c r="E1" s="17" t="n"/>
      <c r="F1" s="17" t="n"/>
    </row>
    <row r="2" ht="33.95" customHeight="1">
      <c r="A2" s="16" t="inlineStr">
        <is>
          <t>MK TECH | RCP 교육 제안서</t>
        </is>
      </c>
    </row>
    <row r="3" ht="27" customHeight="1">
      <c r="A3" s="17" t="n"/>
      <c r="B3" s="17" t="n"/>
      <c r="C3" s="17" t="n"/>
      <c r="D3" s="17" t="n"/>
      <c r="E3" s="17" t="n"/>
      <c r="F3" s="17" t="n"/>
    </row>
    <row r="4" ht="33.95" customHeight="1">
      <c r="A4" s="12" t="inlineStr">
        <is>
          <t>교육 기간</t>
        </is>
      </c>
      <c r="B4" s="13" t="inlineStr">
        <is>
          <t>2026년 10월 19~30일 (평일 10일)</t>
        </is>
      </c>
      <c r="C4" s="17" t="n"/>
      <c r="D4" s="15" t="inlineStr">
        <is>
          <t>기대 교육 성과</t>
        </is>
      </c>
    </row>
    <row r="5" ht="39" customHeight="1">
      <c r="A5" s="12" t="inlineStr">
        <is>
          <t>장소</t>
        </is>
      </c>
      <c r="B5" s="13" t="inlineStr">
        <is>
          <t>말레이시아 페낭 사이트</t>
        </is>
      </c>
      <c r="C5" s="17" t="n"/>
      <c r="D5" s="14" t="inlineStr">
        <is>
          <t>1주차: RCP 랩 서버, MSSQL DB, 애플리케이션, UI를 구축하고 사이트(차량·태그·PLC)를 등록하며 OCS 전 화면을 조작한다.</t>
        </is>
      </c>
    </row>
    <row r="6" ht="39" customHeight="1">
      <c r="A6" s="12" t="inlineStr">
        <is>
          <t>트레이너</t>
        </is>
      </c>
      <c r="B6" s="13" t="inlineStr">
        <is>
          <t>박재민</t>
        </is>
      </c>
      <c r="C6" s="17" t="n"/>
    </row>
    <row r="7" ht="39" customHeight="1">
      <c r="A7" s="12" t="inlineStr">
        <is>
          <t>교육생</t>
        </is>
      </c>
      <c r="B7" s="13" t="inlineStr">
        <is>
          <t>Thines, Areez, Farizal, Darwin, Gun Ho</t>
        </is>
      </c>
      <c r="C7" s="17" t="n"/>
      <c r="D7" s="14" t="inlineStr">
        <is>
          <t>2주차: 맵 편집(OCS 설정, RailDesignTool, MapLoad), MCS 시뮬레이터로 HSMS 추적, 알람·장애 진단, Rose MirrorHA 조작.</t>
        </is>
      </c>
    </row>
    <row r="8" ht="39" customHeight="1">
      <c r="A8" s="12" t="inlineStr">
        <is>
          <t>코디네이터</t>
        </is>
      </c>
      <c r="B8" s="13" t="inlineStr">
        <is>
          <t>Darwin</t>
        </is>
      </c>
      <c r="C8" s="17" t="n"/>
    </row>
    <row r="9" ht="39" customHeight="1">
      <c r="A9" s="12" t="inlineStr">
        <is>
          <t>목적</t>
        </is>
      </c>
      <c r="B9" s="13" t="inlineStr">
        <is>
          <t>MMP가 RCP를 직접 셋업·유지보수·트러블슈팅할 수 있는 역량 확보.</t>
        </is>
      </c>
      <c r="C9" s="17" t="n"/>
      <c r="D9" s="14" t="inlineStr">
        <is>
          <t>교육생별: 개인 실기 시험을 독립적으로 완료하고 복구 절차를 설명한다.</t>
        </is>
      </c>
    </row>
    <row r="10" ht="39" customHeight="1">
      <c r="A10" s="12" t="inlineStr">
        <is>
          <t>트레이너 배경</t>
        </is>
      </c>
      <c r="B10" s="13" t="inlineStr">
        <is>
          <t>리프터 프로젝트의 AATT 신규 인력. RCP 셋업 경험 보유.</t>
        </is>
      </c>
      <c r="C10" s="17" t="n"/>
    </row>
    <row r="11" ht="39" customHeight="1">
      <c r="A11" s="12" t="inlineStr">
        <is>
          <t>일정 여건</t>
        </is>
      </c>
      <c r="B11" s="13" t="inlineStr">
        <is>
          <t>이번 주부터 11월까지 페낭 체류 예정. 12월 인도 프로젝트 시작.</t>
        </is>
      </c>
      <c r="C11" s="17" t="n"/>
      <c r="D11" s="14" t="inlineStr">
        <is>
          <t>인수인계: 셋업 가이드, 맵 변경 체크리스트, 장애 가이드, 결과표.</t>
        </is>
      </c>
    </row>
    <row r="12" ht="39" customHeight="1">
      <c r="A12" s="12" t="inlineStr">
        <is>
          <t>일일 시간표(안)</t>
        </is>
      </c>
      <c r="B12" s="13" t="inlineStr">
        <is>
          <t>09:00~12:00, 13:00~16:00 (말레이시아 시간)</t>
        </is>
      </c>
      <c r="C12" s="17" t="n"/>
    </row>
    <row r="13" ht="39" customHeight="1">
      <c r="A13" s="12" t="inlineStr">
        <is>
          <t>교육 시간</t>
        </is>
      </c>
      <c r="B13" s="13">
        <f>SUM('Daily Training Plan'!H6:H15)</f>
        <v/>
      </c>
      <c r="C13" s="17" t="n"/>
      <c r="D13" s="17" t="n"/>
      <c r="E13" s="17" t="n"/>
      <c r="F13" s="17" t="n"/>
    </row>
    <row r="14" ht="27" customHeight="1">
      <c r="A14" s="17" t="n"/>
      <c r="B14" s="17" t="n"/>
      <c r="C14" s="17" t="n"/>
      <c r="D14" s="17" t="n"/>
      <c r="E14" s="17" t="n"/>
      <c r="F14" s="17" t="n"/>
    </row>
    <row r="15" ht="27" customHeight="1">
      <c r="A15" s="17" t="n"/>
      <c r="B15" s="17" t="n"/>
      <c r="C15" s="17" t="n"/>
      <c r="D15" s="17" t="n"/>
      <c r="E15" s="17" t="n"/>
      <c r="F15" s="17" t="n"/>
    </row>
    <row r="16" ht="33.95" customHeight="1">
      <c r="A16" s="15" t="inlineStr">
        <is>
          <t>교육 전 준비</t>
        </is>
      </c>
      <c r="B16" s="15" t="inlineStr">
        <is>
          <t>담당</t>
        </is>
      </c>
      <c r="C16" s="15" t="inlineStr">
        <is>
          <t>기한</t>
        </is>
      </c>
      <c r="D16" s="15" t="inlineStr">
        <is>
          <t>요건 / 산출물</t>
        </is>
      </c>
      <c r="E16" s="15" t="inlineStr">
        <is>
          <t>상태</t>
        </is>
      </c>
      <c r="F16" s="15" t="inlineStr">
        <is>
          <t>비고</t>
        </is>
      </c>
    </row>
    <row r="17" ht="60" customHeight="1">
      <c r="A17" s="17" t="inlineStr">
        <is>
          <t>일정 확정</t>
        </is>
      </c>
      <c r="B17" s="17" t="inlineStr">
        <is>
          <t>Darwin + 박재민</t>
        </is>
      </c>
      <c r="C17" s="5" t="n">
        <v>46304</v>
      </c>
      <c r="D17" s="13" t="inlineStr">
        <is>
          <t>범위·날짜·트레이너 일정 합의</t>
        </is>
      </c>
      <c r="E17" s="6" t="inlineStr">
        <is>
          <t>Pending</t>
        </is>
      </c>
      <c r="F17" s="6" t="inlineStr">
        <is>
          <t>프로젝트 업무와 조율.</t>
        </is>
      </c>
    </row>
    <row r="18" ht="60" customHeight="1">
      <c r="A18" s="17" t="inlineStr">
        <is>
          <t>랩 준비</t>
        </is>
      </c>
      <c r="B18" s="17" t="inlineStr">
        <is>
          <t>Darwin</t>
        </is>
      </c>
      <c r="C18" s="5" t="n">
        <v>46311</v>
      </c>
      <c r="D18" s="13" t="inlineStr">
        <is>
          <t>테스트 망이 연결된 교육용 VM(Windows Server), MSSQL 2016 설치 미디어, IIS, Office / AccessDatabaseEngine, RailDesignTool 설치 PC 2대</t>
        </is>
      </c>
      <c r="E18" s="6" t="inlineStr">
        <is>
          <t>Pending</t>
        </is>
      </c>
      <c r="F18" s="6" t="inlineStr">
        <is>
          <t>격리된 테스트 환경 사용.</t>
        </is>
      </c>
    </row>
    <row r="19" ht="60" customHeight="1">
      <c r="A19" s="17" t="inlineStr">
        <is>
          <t>RCP 자료 준비</t>
        </is>
      </c>
      <c r="B19" s="17" t="inlineStr">
        <is>
          <t>박재민</t>
        </is>
      </c>
      <c r="C19" s="5" t="n">
        <v>46311</v>
      </c>
      <c r="D19" s="13" t="inlineStr">
        <is>
          <t>RCP 설치 파일과 버전, 기반 소프트웨어 목록, 샘플 DB·맵·태그 Excel, 매뉴얼, XCom Simulator와 Simulation.exe</t>
        </is>
      </c>
      <c r="E19" s="6" t="inlineStr">
        <is>
          <t>Pending</t>
        </is>
      </c>
      <c r="F19" s="6" t="inlineStr">
        <is>
          <t>사이트 RCP 버전은 Darwin과 확인.</t>
        </is>
      </c>
    </row>
    <row r="20" ht="60" customHeight="1">
      <c r="A20" s="17" t="inlineStr">
        <is>
          <t>HSMS 테스트 준비</t>
        </is>
      </c>
      <c r="B20" s="17" t="inlineStr">
        <is>
          <t>박재민 + Darwin</t>
        </is>
      </c>
      <c r="C20" s="5" t="n">
        <v>46311</v>
      </c>
      <c r="D20" s="13" t="inlineStr">
        <is>
          <t>랩 서버에 XCom Simulator(MCS 시뮬레이터)와 cfg/sml 파일·메시지 예시, 9일차용 Rose MirrorHA 테스트 페어(또는 운영 페어 읽기 전용 접근)</t>
        </is>
      </c>
      <c r="E20" s="6" t="inlineStr">
        <is>
          <t>Pending</t>
        </is>
      </c>
      <c r="F20" s="6" t="inlineStr">
        <is>
          <t>시뮬레이터와 Rose 콘솔 접근 확인.</t>
        </is>
      </c>
    </row>
    <row r="21" ht="60" customHeight="1">
      <c r="A21" s="17" t="inlineStr">
        <is>
          <t>교육생 차출</t>
        </is>
      </c>
      <c r="B21" s="17" t="inlineStr">
        <is>
          <t>MMP 관리자</t>
        </is>
      </c>
      <c r="C21" s="5" t="n">
        <v>46311</v>
      </c>
      <c r="D21" s="13" t="inlineStr">
        <is>
          <t>하루 6시간 확보, 운영 대체 인력 배치</t>
        </is>
      </c>
      <c r="E21" s="6" t="inlineStr">
        <is>
          <t>Pending</t>
        </is>
      </c>
      <c r="F21" s="6" t="inlineStr">
        <is>
          <t>5명 모두 공통 모듈 참석.</t>
        </is>
      </c>
    </row>
    <row r="22" ht="60" customHeight="1">
      <c r="A22" s="17" t="inlineStr">
        <is>
          <t>접근 권한 확인</t>
        </is>
      </c>
      <c r="B22" s="17" t="inlineStr">
        <is>
          <t>Darwin</t>
        </is>
      </c>
      <c r="C22" s="5" t="n">
        <v>46311</v>
      </c>
      <c r="D22" s="13" t="inlineStr">
        <is>
          <t>개인별 랩 접근 권한과 백업/복구 기준선. 사이트 확인 사항(MCS_IF UI 창 유무, MapLoad 파일 형식 MDB/JSON, AltTransfer 화면 유무). IP·호스트명 마스킹한 사이트 로그 샘플</t>
        </is>
      </c>
      <c r="E22" s="6" t="inlineStr">
        <is>
          <t>Pending</t>
        </is>
      </c>
      <c r="F22" s="6" t="inlineStr">
        <is>
          <t>교육생마다 실습 시간 필요.</t>
        </is>
      </c>
    </row>
    <row r="23" ht="27" customHeight="1">
      <c r="A23" s="17" t="n"/>
      <c r="B23" s="17" t="n"/>
      <c r="C23" s="17" t="n"/>
      <c r="D23" s="17" t="n"/>
      <c r="E23" s="17" t="n"/>
      <c r="F23" s="17" t="n"/>
    </row>
    <row r="24" ht="27" customHeight="1">
      <c r="A24" s="17" t="n"/>
      <c r="B24" s="17" t="n"/>
      <c r="C24" s="17" t="n"/>
      <c r="D24" s="17" t="n"/>
      <c r="E24" s="17" t="n"/>
      <c r="F24" s="17" t="n"/>
    </row>
    <row r="25" ht="33.95" customHeight="1">
      <c r="A25" s="15" t="inlineStr">
        <is>
          <t>계획 전제와 후속</t>
        </is>
      </c>
    </row>
    <row r="26" ht="33" customHeight="1">
      <c r="A26" s="13" t="inlineStr">
        <is>
          <t>박재민이 기술 순서를 채워 넣은 제안 일정이다. 내용은 OCS 사용자 매뉴얼, 설치 기준서, setup 가이드, Parameter 매뉴얼, RailDesignTool 매뉴얼, Rose MirrorHA 운영 가이드를 따른다.</t>
        </is>
      </c>
    </row>
    <row r="27" ht="33" customHeight="1">
      <c r="A27" s="13" t="inlineStr">
        <is>
          <t>합격 기준(안): 지식 70% 이상, 실기 80% 이상, 필수 체크 전부 통과, 트레이너 사인오프.</t>
        </is>
      </c>
    </row>
    <row r="28" ht="33" customHeight="1">
      <c r="A28" s="13" t="inlineStr">
        <is>
          <t>지식 전달은 랩 데이터로 한다. 맵·DB 변경은 백업, 검증, 롤백 실습을 포함한다.</t>
        </is>
      </c>
    </row>
    <row r="29" ht="33" customHeight="1">
      <c r="A29" s="13" t="inlineStr">
        <is>
          <t>11월: 트레이너가 인도로 떠나기 전에 부족한 부분에 대한 감독 지원과 재시험을 잡는다.</t>
        </is>
      </c>
    </row>
    <row r="30" ht="27" customHeight="1">
      <c r="A30" s="17" t="n"/>
      <c r="B30" s="17" t="n"/>
      <c r="C30" s="17" t="n"/>
      <c r="D30" s="17" t="n"/>
      <c r="E30" s="17" t="n"/>
      <c r="F30" s="17" t="n"/>
    </row>
    <row r="31" ht="27" customHeight="1">
      <c r="A31" s="17" t="n"/>
      <c r="B31" s="17" t="n"/>
      <c r="C31" s="17" t="n"/>
      <c r="D31" s="17" t="n"/>
      <c r="E31" s="17" t="n"/>
      <c r="F31" s="17" t="n"/>
    </row>
  </sheetData>
  <mergeCells count="11">
    <mergeCell ref="D11:F12"/>
    <mergeCell ref="A2:F2"/>
    <mergeCell ref="A28:F28"/>
    <mergeCell ref="D5:F6"/>
    <mergeCell ref="D4:F4"/>
    <mergeCell ref="A27:F27"/>
    <mergeCell ref="D9:F10"/>
    <mergeCell ref="A26:F26"/>
    <mergeCell ref="D7:F8"/>
    <mergeCell ref="A29:F29"/>
    <mergeCell ref="A25:F25"/>
  </mergeCells>
  <dataValidations count="1">
    <dataValidation sqref="E17:E22" showDropDown="0" showInputMessage="0" showErrorMessage="0" allowBlank="0" type="list">
      <formula1>"Pending,In progress,Ready,Blocked"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8334F"/>
    <outlinePr summaryBelow="1" summaryRight="1"/>
    <pageSetUpPr/>
  </sheetPr>
  <dimension ref="A1:J19"/>
  <sheetViews>
    <sheetView showGridLines="0" workbookViewId="0">
      <pane xSplit="2" ySplit="5" topLeftCell="C6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5.375" customWidth="1" min="1" max="1"/>
    <col width="13.875" customWidth="1" min="2" max="2"/>
    <col width="24.5" customWidth="1" min="3" max="3"/>
    <col width="38.875" customWidth="1" min="4" max="5"/>
    <col width="37.75" customWidth="1" min="6" max="6"/>
    <col width="26.125" customWidth="1" min="7" max="7"/>
    <col width="7.25" customWidth="1" min="8" max="8"/>
    <col width="13.875" customWidth="1" min="9" max="9"/>
    <col width="24.5" customWidth="1" min="10" max="10"/>
  </cols>
  <sheetData>
    <row r="1" ht="27" customHeight="1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</row>
    <row r="2" ht="33.95" customHeight="1">
      <c r="A2" s="16" t="inlineStr">
        <is>
          <t>RCP | 2주 일별 교육 계획</t>
        </is>
      </c>
    </row>
    <row r="3" ht="27" customHeight="1">
      <c r="A3" s="17" t="inlineStr">
        <is>
          <t>트레이너: 박재민 | 전 세션: Thines, Areez, Farizal, Darwin, Gun Ho | 시간: 말레이시아 시간</t>
        </is>
      </c>
    </row>
    <row r="4" ht="27" customHeight="1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</row>
    <row r="5" ht="33.95" customHeight="1">
      <c r="A5" s="15" t="inlineStr">
        <is>
          <t>일차</t>
        </is>
      </c>
      <c r="B5" s="15" t="inlineStr">
        <is>
          <t>날짜</t>
        </is>
      </c>
      <c r="C5" s="15" t="inlineStr">
        <is>
          <t>모듈</t>
        </is>
      </c>
      <c r="D5" s="15" t="inlineStr">
        <is>
          <t>09:00~12:00 | 설명·시연</t>
        </is>
      </c>
      <c r="E5" s="15" t="inlineStr">
        <is>
          <t>13:00~15:00 | 실습</t>
        </is>
      </c>
      <c r="F5" s="15" t="inlineStr">
        <is>
          <t>15:00~16:00 | 복습 / 테스트</t>
        </is>
      </c>
      <c r="G5" s="15" t="inlineStr">
        <is>
          <t>일일 산출물</t>
        </is>
      </c>
      <c r="H5" s="15" t="inlineStr">
        <is>
          <t>시간</t>
        </is>
      </c>
      <c r="I5" s="15" t="inlineStr">
        <is>
          <t>상태</t>
        </is>
      </c>
      <c r="J5" s="15" t="inlineStr">
        <is>
          <t>실제 비고</t>
        </is>
      </c>
    </row>
    <row r="6" ht="104.1" customHeight="1">
      <c r="A6" s="7" t="n">
        <v>1</v>
      </c>
      <c r="B6" s="8" t="n">
        <v>46314</v>
      </c>
      <c r="C6" s="14" t="inlineStr">
        <is>
          <t>아키텍처·서버 준비</t>
        </is>
      </c>
      <c r="D6" s="14" t="inlineStr">
        <is>
          <t>RCP/OCS 구성요소(Core, PlcDriver, MCS_IF, UI, DB)와 각각의 통신 상대. 서버·네트워크 구성. config 파일과 폴더. 기동 순서와 Core 상태. 설치 기준서, 반입 전 체크리스트</t>
        </is>
      </c>
      <c r="E6" s="14" t="inlineStr">
        <is>
          <t>랩 서버를 설치 기준서와 대조: 필수 소프트웨어, 방화벽, NIC Teaming, RDP, UPS. CMD 진단(ping, netstat). 구성요소 흐름도 그리기</t>
        </is>
      </c>
      <c r="F6" s="14" t="inlineStr">
        <is>
          <t>교육생별로 구성요소 흐름과 기동 순서를 설명하고 서버 체크리스트를 제시</t>
        </is>
      </c>
      <c r="G6" s="14" t="inlineStr">
        <is>
          <t>아키텍처 스케치 + 서버 준비 체크리스트</t>
        </is>
      </c>
      <c r="H6" s="7" t="n">
        <v>6</v>
      </c>
      <c r="I6" s="10" t="inlineStr">
        <is>
          <t>Planned</t>
        </is>
      </c>
      <c r="J6" s="6" t="n"/>
    </row>
    <row r="7" ht="104.1" customHeight="1">
      <c r="A7" s="17" t="n">
        <v>2</v>
      </c>
      <c r="B7" s="9" t="n">
        <v>46315</v>
      </c>
      <c r="C7" s="13" t="inlineStr">
        <is>
          <t>DB 구축·유지보수</t>
        </is>
      </c>
      <c r="D7" s="13" t="inlineStr">
        <is>
          <t>기준서대로 MSSQL 2016 설치(Agent 자동 시작, 데이터 경로는 미러 디스크). DB 구축 쿼리. 백업 계획과 폴더. History 테이블과 Agent Job. SQL 메모리 상한. 로그 보존기간·디스크 설정</t>
        </is>
      </c>
      <c r="E7" s="13" t="inlineStr">
        <is>
          <t>MSSQL 설치, 3단계 DB 구축 실행, 심어 둔 경로 오류 수정. 백업 폴더 설정. 서비스, MDF/LDF 증가, Agent Job 점검. 백업에서 복구</t>
        </is>
      </c>
      <c r="F7" s="13" t="inlineStr">
        <is>
          <t>교육생별로 교육 DB를 백업에서 복구하고 백업·보존 설정을 설명</t>
        </is>
      </c>
      <c r="G7" s="13" t="inlineStr">
        <is>
          <t>DB 셋업 가이드 + 백업/복구 증빙</t>
        </is>
      </c>
      <c r="H7" s="17" t="n">
        <v>6</v>
      </c>
      <c r="I7" s="10" t="inlineStr">
        <is>
          <t>Planned</t>
        </is>
      </c>
      <c r="J7" s="6" t="n"/>
    </row>
    <row r="8" ht="104.1" customHeight="1">
      <c r="A8" s="7" t="n">
        <v>3</v>
      </c>
      <c r="B8" s="8" t="n">
        <v>46316</v>
      </c>
      <c r="C8" s="14" t="inlineStr">
        <is>
          <t>애플리케이션 설치·사이트 구성</t>
        </is>
      </c>
      <c r="D8" s="14" t="inlineStr">
        <is>
          <t>기반 소프트웨어와 RCP 설치 순서. IIS에 UI 배포와 대표적 UI 오류 4종. 시뮬레이터 환경(XCom Simulator, Simulation.exe). 사이트 등록: CommGroup → Vehicle → Station → OrderGroup. Tag 3단 등록과 PlcTag 파일. PLC 연결 필드</t>
        </is>
      </c>
      <c r="E8" s="14" t="inlineStr">
        <is>
          <t>교육생별로 깨끗한 랩 서버에 RCP를 설치하고 Core 기동, UI 배포, 차량 1대와 PLC 유닛 1개 등록, Excel로 태그 적재, 시뮬레이터로 오더 1건 실행</t>
        </is>
      </c>
      <c r="F8" s="14" t="inlineStr">
        <is>
          <t>깨끗한 상태에서 RCP 기동. 심어 둔 설정 오류(DB IP / config / 태그 매핑)를 찾아냄</t>
        </is>
      </c>
      <c r="G8" s="14" t="inlineStr">
        <is>
          <t>애플리케이션 + 사이트 셋업 체크리스트</t>
        </is>
      </c>
      <c r="H8" s="7" t="n">
        <v>6</v>
      </c>
      <c r="I8" s="10" t="inlineStr">
        <is>
          <t>Planned</t>
        </is>
      </c>
      <c r="J8" s="6" t="n"/>
    </row>
    <row r="9" ht="104.1" customHeight="1">
      <c r="A9" s="17" t="n">
        <v>4</v>
      </c>
      <c r="B9" s="9" t="n">
        <v>46317</v>
      </c>
      <c r="C9" s="13" t="inlineStr">
        <is>
          <t>OCS 화면 조작 (1)·파라미터</t>
        </is>
      </c>
      <c r="D9" s="13" t="inlineStr">
        <is>
          <t>메인 화면, 상태 램프, 객체 색상, 찾기. 로그인과 권한. View / Layout Setting / DockSetting. System 메뉴: SystemInfo, Status, Color. Parameter 메뉴 구조와 배차·주행 파라미터(읽기만)</t>
        </is>
      </c>
      <c r="E9" s="13" t="inlineStr">
        <is>
          <t>Object 메뉴 실습: Vehicle Line In/Out, Prevent, Sub Command, Clean. Station 모드. Point/CPS/MTL 상태. PLC, Ping 유닛, Tag 그룹 등록</t>
        </is>
      </c>
      <c r="F9" s="13" t="inlineStr">
        <is>
          <t>화면 드릴: 트레이너가 필드나 동작을 말하면 교육생이 찾아가 설명</t>
        </is>
      </c>
      <c r="G9" s="13" t="inlineStr">
        <is>
          <t>화면 체크리스트 1부</t>
        </is>
      </c>
      <c r="H9" s="17" t="n">
        <v>6</v>
      </c>
      <c r="I9" s="10" t="inlineStr">
        <is>
          <t>Planned</t>
        </is>
      </c>
      <c r="J9" s="6" t="n"/>
    </row>
    <row r="10" ht="104.1" customHeight="1">
      <c r="A10" s="7" t="n">
        <v>5</v>
      </c>
      <c r="B10" s="8" t="n">
        <v>46318</v>
      </c>
      <c r="C10" s="14" t="inlineStr">
        <is>
          <t>OCS 화면 조작 (2)·1주차 체크포인트</t>
        </is>
      </c>
      <c r="D10" s="14" t="inlineStr">
        <is>
          <t>Transfer 지령과 CycleMove. Report 이력. ErrorHistory / HSMSHistory. Statistics. OrderList와 NACK. AlarmList, ErrorList, PingList, CommEvent. PlayBack. Help Version / Define</t>
        </is>
      </c>
      <c r="E10" s="14" t="inlineStr">
        <is>
          <t>시뮬레이터에서 수동 반송과 CycleMove. 이력·통계 조회. PlayBack Export</t>
        </is>
      </c>
      <c r="F10" s="14" t="inlineStr">
        <is>
          <t>1주차 체크포인트: 교육생별로 서버 → DB → 애플리케이션 → 사이트 셋업과 주요 화면을 순서대로 시연</t>
        </is>
      </c>
      <c r="G10" s="14" t="inlineStr">
        <is>
          <t>화면 체크리스트 2부 + 1주차 체크포인트 기록</t>
        </is>
      </c>
      <c r="H10" s="7" t="n">
        <v>6</v>
      </c>
      <c r="I10" s="10" t="inlineStr">
        <is>
          <t>Planned</t>
        </is>
      </c>
      <c r="J10" s="6" t="n"/>
    </row>
    <row r="11" ht="104.1" customHeight="1">
      <c r="A11" s="17" t="n">
        <v>6</v>
      </c>
      <c r="B11" s="9" t="n">
        <v>46321</v>
      </c>
      <c r="C11" s="13" t="inlineStr">
        <is>
          <t>맵 생성·변경·업데이트</t>
        </is>
      </c>
      <c r="D11" s="13" t="inlineStr">
        <is>
          <t>맵 구조. OCS 쪽 통행 설정: Unuse, Home, Cluster, StationWeightGroup, AutoPark, Point type, UserBlock, Safety/CPS/MTL 영역, Layout Run. RailDesignTool 기본. 차량 제원과 Safety Margin. 오토블로킹</t>
        </is>
      </c>
      <c r="E11" s="13" t="inlineStr">
        <is>
          <t>랩 OCS에서 통행 설정 편집. RDT에서 사이트 맵 열기, 세그먼트 작도, 오토블로킹 실행, JSON Export. 랩 서버에서 BackupPath 지정해 MapLoad</t>
        </is>
      </c>
      <c r="F11" s="13" t="inlineStr">
        <is>
          <t>교육생별로 랩 서버에 맵 변경을 반영하고 롤백 경로와 운영 시스템 영향을 설명</t>
        </is>
      </c>
      <c r="G11" s="13" t="inlineStr">
        <is>
          <t>검증된 맵 + 변경/롤백 기록</t>
        </is>
      </c>
      <c r="H11" s="17" t="n">
        <v>6</v>
      </c>
      <c r="I11" s="10" t="inlineStr">
        <is>
          <t>Planned</t>
        </is>
      </c>
      <c r="J11" s="6" t="n"/>
    </row>
    <row r="12" ht="104.1" customHeight="1">
      <c r="A12" s="7" t="n">
        <v>7</v>
      </c>
      <c r="B12" s="8" t="n">
        <v>46322</v>
      </c>
      <c r="C12" s="14" t="inlineStr">
        <is>
          <t>HSMS: RCP ↔ MCS</t>
        </is>
      </c>
      <c r="D12" s="14" t="inlineStr">
        <is>
          <t>MCS_IF 구성: cfg 경로, HSMS IP, XCom CfgSml, HostNetworkName. HSMS/SECS-II 프레임과 타임아웃 T3~T8. 접속 시퀀스(S1F13/F17, S2F41, S2F49)와 반송 이벤트. 상위 통신 문제가 드러나는 곳(NackHistory, HSMSHistory, XCom 로그)</t>
        </is>
      </c>
      <c r="E12" s="14" t="inlineStr">
        <is>
          <t>랩 OCS를 XCom 시뮬레이터에 연결. cfg/sml 등록, MCMD Remote까지 링크 올리기. S2F49 송신과 오더 추적. 심어 둔 단절에서 복구</t>
        </is>
      </c>
      <c r="F12" s="14" t="inlineStr">
        <is>
          <t>교육생별로 캡처한 교환 메시지를 설명하고 심어 둔 통신 장애를 복구</t>
        </is>
      </c>
      <c r="G12" s="14" t="inlineStr">
        <is>
          <t>통신 체크리스트 + 주석 단 HSMS 로그</t>
        </is>
      </c>
      <c r="H12" s="7" t="n">
        <v>6</v>
      </c>
      <c r="I12" s="10" t="inlineStr">
        <is>
          <t>Planned</t>
        </is>
      </c>
      <c r="J12" s="6" t="n"/>
    </row>
    <row r="13" ht="104.1" customHeight="1">
      <c r="A13" s="17" t="n">
        <v>8</v>
      </c>
      <c r="B13" s="9" t="n">
        <v>46323</v>
      </c>
      <c r="C13" s="13" t="inlineStr">
        <is>
          <t>시뮬레이션·알람·트러블슈팅 진입점</t>
        </is>
      </c>
      <c r="D13" s="13" t="inlineStr">
        <is>
          <t>차량 통신 구조와 OHT 메시지 기초. 알람 분류(ErrType / ErrCode / ErrEvent). OCS 로그 지도(파일 로그 / DB 이력 / UI / XCom). 증상 → 차량·오더·서버·기동·PLC 문제별 첫 화면 또는 로그</t>
        </is>
      </c>
      <c r="E13" s="13" t="inlineStr">
        <is>
          <t>시뮬레이터에서 장애 스테이션 순환: 기동 실패, DB 연결, 차량 무응답, 오더 타임아웃, PLC 통신 알람. Comm 로그와 CommErrHistory 판독. ping / CMD로 통신 단절 구간 특정</t>
        </is>
      </c>
      <c r="F13" s="13" t="inlineStr">
        <is>
          <t>교육생별로 심어 둔 장애 2건을 진단하고 첫 화면/로그와 복구를 말함</t>
        </is>
      </c>
      <c r="G13" s="13" t="inlineStr">
        <is>
          <t>장애 격리 가이드 + 인시던트 기록</t>
        </is>
      </c>
      <c r="H13" s="17" t="n">
        <v>6</v>
      </c>
      <c r="I13" s="10" t="inlineStr">
        <is>
          <t>Planned</t>
        </is>
      </c>
      <c r="J13" s="6" t="n"/>
    </row>
    <row r="14" ht="104.1" customHeight="1">
      <c r="A14" s="7" t="n">
        <v>9</v>
      </c>
      <c r="B14" s="8" t="n">
        <v>46324</v>
      </c>
      <c r="C14" s="14" t="inlineStr">
        <is>
          <t>Rose MirrorHA·지식 테스트</t>
        </is>
      </c>
      <c r="D14" s="14" t="inlineStr">
        <is>
          <t>Rose 리소스, 그룹, 가상 IP, FailOver 트리거. 콘솔 상태 판독. Bring In / Bring Out. 수동 절체와 역절체. 서비스 검증. 장애 유형과 1차 조치</t>
        </is>
      </c>
      <c r="E14" s="14" t="inlineStr">
        <is>
          <t>Rose 테스트 페어에서: 상태 판독, 수동 절체·역절체, VIP로 RCP UI 접속과 FailOverHistory 확인</t>
        </is>
      </c>
      <c r="F14" s="14" t="inlineStr">
        <is>
          <t>지식 테스트(필기): 셋업, DB, 화면, 맵, HSMS, 알람, Rose. 점수와 부족한 부분 기록</t>
        </is>
      </c>
      <c r="G14" s="14" t="inlineStr">
        <is>
          <t>지식 점수 + Rose 체크리스트</t>
        </is>
      </c>
      <c r="H14" s="7" t="n">
        <v>6</v>
      </c>
      <c r="I14" s="10" t="inlineStr">
        <is>
          <t>Planned</t>
        </is>
      </c>
      <c r="J14" s="6" t="n"/>
    </row>
    <row r="15" ht="104.1" customHeight="1">
      <c r="A15" s="17" t="n">
        <v>10</v>
      </c>
      <c r="B15" s="9" t="n">
        <v>46325</v>
      </c>
      <c r="C15" s="13" t="inlineStr">
        <is>
          <t>개인 실기·인수인계</t>
        </is>
      </c>
      <c r="D15" s="13" t="inlineStr">
        <is>
          <t>독립 종합 실기: 셋업 확인, 맵 편집, 차량/태그 등록, 시뮬레이션 오더 실행, 심어 둔 장애 해결과 복구. 트레이너 리뷰와 피드백</t>
        </is>
      </c>
      <c r="E15" s="13" t="inlineStr">
        <is>
          <t>오전에 개인 실기 5회(각 45분). 오후: 보완 재시험, 셋업 가이드·맵 변경 체크리스트·장애 가이드 인수인계</t>
        </is>
      </c>
      <c r="F15" s="13" t="inlineStr">
        <is>
          <t>트레이너가 실기 점수, 필수 체크, 사인오프 기록. 11월 후속(확장 항목) 배정</t>
        </is>
      </c>
      <c r="G15" s="13" t="inlineStr">
        <is>
          <t>개인 결과 + 인수인계 자료 + 조치 목록</t>
        </is>
      </c>
      <c r="H15" s="17" t="n">
        <v>6</v>
      </c>
      <c r="I15" s="10" t="inlineStr">
        <is>
          <t>Planned</t>
        </is>
      </c>
      <c r="J15" s="6" t="n"/>
    </row>
    <row r="16" ht="27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</row>
    <row r="17" ht="30" customHeight="1">
      <c r="A17" s="17" t="inlineStr">
        <is>
          <t>실습 조 편성: Thines + Areez / Farizal + Darwin / Gun Ho 순환. 조작자와 검토자를 번갈아 맡는다. 최종 시험은 전부 개인별.</t>
        </is>
      </c>
    </row>
    <row r="18" ht="27" customHeight="1">
      <c r="A18" s="17" t="inlineStr">
        <is>
          <t>마지막 날 제안: 오전에 45분짜리 개인 실기 5회. 오후는 피드백, 보완 재시험, 인수인계.</t>
        </is>
      </c>
    </row>
    <row r="19" ht="27" customHeight="1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</row>
  </sheetData>
  <mergeCells count="4">
    <mergeCell ref="A17:J17"/>
    <mergeCell ref="A18:J18"/>
    <mergeCell ref="A3:J3"/>
    <mergeCell ref="A2:J2"/>
  </mergeCells>
  <dataValidations count="1">
    <dataValidation sqref="I6:I15" showDropDown="0" showInputMessage="0" showErrorMessage="0" allowBlank="0" type="list">
      <formula1>"Planned,In progress,Completed,Rescheduled"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8334F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23.875" customWidth="1" min="1" max="1"/>
    <col width="14.5" customWidth="1" min="2" max="2"/>
    <col width="17.25" customWidth="1" min="3" max="3"/>
    <col width="13.875" customWidth="1" min="4" max="5"/>
    <col width="16.125" customWidth="1" min="6" max="7"/>
    <col width="18.875" customWidth="1" min="8" max="8"/>
    <col width="25.5" customWidth="1" min="9" max="9"/>
    <col width="15" customWidth="1" min="10" max="10"/>
  </cols>
  <sheetData>
    <row r="1" ht="27" customHeight="1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</row>
    <row r="2" ht="33.95" customHeight="1">
      <c r="A2" s="16" t="inlineStr">
        <is>
          <t>RCP | 개인 평가 추적표</t>
        </is>
      </c>
    </row>
    <row r="3" ht="27" customHeight="1">
      <c r="A3" s="17" t="inlineStr">
        <is>
          <t>기준(안) | 시험 후 결과 입력. 점수는 0~100. 아직 기록된 결과 없음.</t>
        </is>
      </c>
    </row>
    <row r="4" ht="27" customHeight="1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</row>
    <row r="5" ht="33.95" customHeight="1">
      <c r="A5" s="15" t="inlineStr">
        <is>
          <t>교육생</t>
        </is>
      </c>
      <c r="B5" s="15" t="inlineStr">
        <is>
          <t>출석(일)</t>
        </is>
      </c>
      <c r="C5" s="15" t="inlineStr">
        <is>
          <t>1주차 체크포인트</t>
        </is>
      </c>
      <c r="D5" s="15" t="inlineStr">
        <is>
          <t>지식 점수</t>
        </is>
      </c>
      <c r="E5" s="15" t="inlineStr">
        <is>
          <t>실기 점수</t>
        </is>
      </c>
      <c r="F5" s="15" t="inlineStr">
        <is>
          <t>필수 체크</t>
        </is>
      </c>
      <c r="G5" s="15" t="inlineStr">
        <is>
          <t>트레이너 사인오프</t>
        </is>
      </c>
      <c r="H5" s="15" t="inlineStr">
        <is>
          <t>결과</t>
        </is>
      </c>
      <c r="I5" s="15" t="inlineStr">
        <is>
          <t>부족 / 후속 조치</t>
        </is>
      </c>
      <c r="J5" s="15" t="inlineStr">
        <is>
          <t>재시험일</t>
        </is>
      </c>
    </row>
    <row r="6" ht="60" customHeight="1">
      <c r="A6" s="17" t="inlineStr">
        <is>
          <t>Thines</t>
        </is>
      </c>
      <c r="B6" s="10" t="n"/>
      <c r="C6" s="10" t="inlineStr">
        <is>
          <t>Pending</t>
        </is>
      </c>
      <c r="D6" s="10" t="n"/>
      <c r="E6" s="10" t="n"/>
      <c r="F6" s="10" t="inlineStr">
        <is>
          <t>Pending</t>
        </is>
      </c>
      <c r="G6" s="10" t="inlineStr">
        <is>
          <t>Pending</t>
        </is>
      </c>
      <c r="H6" s="13">
        <f>IF(OR(B6="",C6="Pending",D6="",E6="",F6="Pending",G6="Pending"),"Pending",IF(AND(B6&gt;=9,C6="Pass",D6&gt;=70,E6&gt;=80,F6="Pass",G6="Approved"),"Pass","Follow-up required"))</f>
        <v/>
      </c>
      <c r="I6" s="6" t="n"/>
      <c r="J6" s="11" t="n"/>
    </row>
    <row r="7" ht="60" customHeight="1">
      <c r="A7" s="17" t="inlineStr">
        <is>
          <t>Areez</t>
        </is>
      </c>
      <c r="B7" s="10" t="n"/>
      <c r="C7" s="10" t="inlineStr">
        <is>
          <t>Pending</t>
        </is>
      </c>
      <c r="D7" s="10" t="n"/>
      <c r="E7" s="10" t="n"/>
      <c r="F7" s="10" t="inlineStr">
        <is>
          <t>Pending</t>
        </is>
      </c>
      <c r="G7" s="10" t="inlineStr">
        <is>
          <t>Pending</t>
        </is>
      </c>
      <c r="H7" s="13">
        <f>IF(OR(B7="",C7="Pending",D7="",E7="",F7="Pending",G7="Pending"),"Pending",IF(AND(B7&gt;=9,C7="Pass",D7&gt;=70,E7&gt;=80,F7="Pass",G7="Approved"),"Pass","Follow-up required"))</f>
        <v/>
      </c>
      <c r="I7" s="6" t="n"/>
      <c r="J7" s="11" t="n"/>
    </row>
    <row r="8" ht="60" customHeight="1">
      <c r="A8" s="17" t="inlineStr">
        <is>
          <t>Farizal</t>
        </is>
      </c>
      <c r="B8" s="10" t="n"/>
      <c r="C8" s="10" t="inlineStr">
        <is>
          <t>Pending</t>
        </is>
      </c>
      <c r="D8" s="10" t="n"/>
      <c r="E8" s="10" t="n"/>
      <c r="F8" s="10" t="inlineStr">
        <is>
          <t>Pending</t>
        </is>
      </c>
      <c r="G8" s="10" t="inlineStr">
        <is>
          <t>Pending</t>
        </is>
      </c>
      <c r="H8" s="13">
        <f>IF(OR(B8="",C8="Pending",D8="",E8="",F8="Pending",G8="Pending"),"Pending",IF(AND(B8&gt;=9,C8="Pass",D8&gt;=70,E8&gt;=80,F8="Pass",G8="Approved"),"Pass","Follow-up required"))</f>
        <v/>
      </c>
      <c r="I8" s="6" t="n"/>
      <c r="J8" s="11" t="n"/>
    </row>
    <row r="9" ht="60" customHeight="1">
      <c r="A9" s="17" t="inlineStr">
        <is>
          <t>Darwin</t>
        </is>
      </c>
      <c r="B9" s="10" t="n"/>
      <c r="C9" s="10" t="inlineStr">
        <is>
          <t>Pending</t>
        </is>
      </c>
      <c r="D9" s="10" t="n"/>
      <c r="E9" s="10" t="n"/>
      <c r="F9" s="10" t="inlineStr">
        <is>
          <t>Pending</t>
        </is>
      </c>
      <c r="G9" s="10" t="inlineStr">
        <is>
          <t>Pending</t>
        </is>
      </c>
      <c r="H9" s="13">
        <f>IF(OR(B9="",C9="Pending",D9="",E9="",F9="Pending",G9="Pending"),"Pending",IF(AND(B9&gt;=9,C9="Pass",D9&gt;=70,E9&gt;=80,F9="Pass",G9="Approved"),"Pass","Follow-up required"))</f>
        <v/>
      </c>
      <c r="I9" s="6" t="n"/>
      <c r="J9" s="11" t="n"/>
    </row>
    <row r="10" ht="60" customHeight="1">
      <c r="A10" s="17" t="inlineStr">
        <is>
          <t>Gun Ho</t>
        </is>
      </c>
      <c r="B10" s="10" t="n"/>
      <c r="C10" s="10" t="inlineStr">
        <is>
          <t>Pending</t>
        </is>
      </c>
      <c r="D10" s="10" t="n"/>
      <c r="E10" s="10" t="n"/>
      <c r="F10" s="10" t="inlineStr">
        <is>
          <t>Pending</t>
        </is>
      </c>
      <c r="G10" s="10" t="inlineStr">
        <is>
          <t>Pending</t>
        </is>
      </c>
      <c r="H10" s="13">
        <f>IF(OR(B10="",C10="Pending",D10="",E10="",F10="Pending",G10="Pending"),"Pending",IF(AND(B10&gt;=10,C10="Pass",D10&gt;=70,E10&gt;=80,F10="Pass",G10="Approved"),"Pass","Follow-up required"))</f>
        <v/>
      </c>
      <c r="I10" s="6" t="n"/>
      <c r="J10" s="11" t="n"/>
    </row>
    <row r="11" ht="27" customHeight="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</row>
    <row r="12" ht="33.95" customHeight="1">
      <c r="A12" s="15" t="inlineStr">
        <is>
          <t>실기 과제</t>
        </is>
      </c>
      <c r="B12" s="15" t="inlineStr">
        <is>
          <t>배점</t>
        </is>
      </c>
      <c r="C12" s="15" t="inlineStr">
        <is>
          <t>증빙</t>
        </is>
      </c>
      <c r="D12" s="15" t="inlineStr">
        <is>
          <t>필수 요건</t>
        </is>
      </c>
      <c r="E12" s="17" t="n"/>
      <c r="F12" s="15" t="inlineStr">
        <is>
          <t>수료 규칙(안)</t>
        </is>
      </c>
    </row>
    <row r="13" ht="95.09999999999999" customHeight="1">
      <c r="A13" s="13" t="inlineStr">
        <is>
          <t>서버 + 애플리케이션 + IIS</t>
        </is>
      </c>
      <c r="B13" s="13" t="n">
        <v>20</v>
      </c>
      <c r="C13" s="13" t="inlineStr">
        <is>
          <t>깨끗한 상태에서 Core / PlcDriver / MCS_IF 기동. 테스트 클라이언트에서 UI URL 접속</t>
        </is>
      </c>
      <c r="D13" s="13" t="inlineStr">
        <is>
          <t>기동 순서와 config / 서비스 의존 관계 설명</t>
        </is>
      </c>
      <c r="E13" s="17" t="n"/>
      <c r="F13" s="13" t="inlineStr">
        <is>
          <t>출석: 10일 중 9일 이상. 빠진 핵심 모듈은 사인오프 전에 보충.</t>
        </is>
      </c>
    </row>
    <row r="14" ht="95.09999999999999" customHeight="1">
      <c r="A14" s="13" t="inlineStr">
        <is>
          <t>DB CRUD + 복구</t>
        </is>
      </c>
      <c r="B14" s="13" t="n">
        <v>20</v>
      </c>
      <c r="C14" s="13" t="inlineStr">
        <is>
          <t>스크립트로 DB 구축. 차량·Station 레코드 등록. 백업 후 복구 검증</t>
        </is>
      </c>
      <c r="D14" s="13" t="inlineStr">
        <is>
          <t>변경 전 백업. 무관한 데이터 보존. 복구 성공</t>
        </is>
      </c>
      <c r="E14" s="17" t="n"/>
      <c r="F14" s="13" t="inlineStr">
        <is>
          <t>1주차 체크포인트 통과. 지식 70/100 이상. 실기 80/100 이상.</t>
        </is>
      </c>
    </row>
    <row r="15" ht="95.09999999999999" customHeight="1">
      <c r="A15" s="13" t="inlineStr">
        <is>
          <t>맵 변경 + 롤백</t>
        </is>
      </c>
      <c r="B15" s="13" t="n">
        <v>15</v>
      </c>
      <c r="C15" s="13" t="inlineStr">
        <is>
          <t>통행 설정 또는 RDT 맵 변경을 Layout &gt; MapLoad로 BackupPath 지정해 반영</t>
        </is>
      </c>
      <c r="D15" s="13" t="inlineStr">
        <is>
          <t>연결성 확인(Layout &gt; Check)과 롤백 시연</t>
        </is>
      </c>
      <c r="E15" s="17" t="n"/>
      <c r="F15" s="13" t="inlineStr">
        <is>
          <t>필수 체크: 백업, 롤백, 복구를 포함한 필수 요건 전부 통과.</t>
        </is>
      </c>
    </row>
    <row r="16" ht="95.09999999999999" customHeight="1">
      <c r="A16" s="13" t="inlineStr">
        <is>
          <t>HSMS 통신</t>
        </is>
      </c>
      <c r="B16" s="13" t="n">
        <v>15</v>
      </c>
      <c r="C16" s="13" t="inlineStr">
        <is>
          <t>XCom 시뮬레이터와 MCMD Remote까지 링크. S2F49 오더를 OrderList / HSMSHistory에서 추적</t>
        </is>
      </c>
      <c r="D16" s="13" t="inlineStr">
        <is>
          <t>통신 점검 항목 설명과 재접속</t>
        </is>
      </c>
      <c r="E16" s="17" t="n"/>
      <c r="F16" s="13" t="inlineStr">
        <is>
          <t>트레이너가 시험, 증빙, 보충 작업을 검토한 뒤 사인오프.</t>
        </is>
      </c>
    </row>
    <row r="17" ht="95.09999999999999" customHeight="1">
      <c r="A17" s="13" t="inlineStr">
        <is>
          <t>시뮬레이션 + 장애 진단</t>
        </is>
      </c>
      <c r="B17" s="13" t="n">
        <v>20</v>
      </c>
      <c r="C17" s="13" t="inlineStr">
        <is>
          <t>시뮬레이터에서 테스트 오더 완료. 심어 둔 장애의 원인 증빙(로그 또는 화면)</t>
        </is>
      </c>
      <c r="D17" s="13" t="inlineStr">
        <is>
          <t>첫 화면 / 로그를 지목하고 진단, 복구 검증</t>
        </is>
      </c>
      <c r="E17" s="17" t="n"/>
      <c r="F17" s="13" t="inlineStr">
        <is>
          <t>기준 미달 시: 부족한 부분 기록, 연습 배정, 11월 재시험일 합의.</t>
        </is>
      </c>
    </row>
    <row r="18" ht="95.09999999999999" customHeight="1">
      <c r="A18" s="13" t="inlineStr">
        <is>
          <t>인수인계 + 티치백</t>
        </is>
      </c>
      <c r="B18" s="13" t="n">
        <v>10</v>
      </c>
      <c r="C18" s="13" t="inlineStr">
        <is>
          <t>명확한 런북과 에스컬레이션 기록</t>
        </is>
      </c>
      <c r="D18" s="13" t="inlineStr">
        <is>
          <t>무엇이 바뀌었는지 설명하고 증빙 제시</t>
        </is>
      </c>
      <c r="E18" s="17" t="n"/>
      <c r="F18" s="17" t="n"/>
      <c r="G18" s="17" t="n"/>
      <c r="H18" s="17" t="n"/>
      <c r="I18" s="17" t="n"/>
      <c r="J18" s="17" t="n"/>
    </row>
    <row r="19" ht="27" customHeight="1">
      <c r="A19" s="17" t="inlineStr">
        <is>
          <t>실기 총점</t>
        </is>
      </c>
      <c r="B19" s="17">
        <f>SUM(B13:B18)</f>
        <v/>
      </c>
      <c r="C19" s="17" t="n"/>
      <c r="D19" s="17" t="n"/>
      <c r="E19" s="17" t="n"/>
      <c r="F19" s="17" t="n"/>
      <c r="G19" s="17" t="n"/>
      <c r="H19" s="17" t="n"/>
      <c r="I19" s="17" t="n"/>
      <c r="J19" s="17" t="n"/>
    </row>
    <row r="20" ht="27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</row>
    <row r="21" ht="27" customHeight="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</row>
    <row r="22" ht="27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</row>
    <row r="23" ht="27" customHeight="1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</row>
    <row r="24" ht="27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</row>
    <row r="25" ht="27" customHeight="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</row>
    <row r="26" ht="27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</row>
    <row r="27" ht="27" customHeight="1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</row>
    <row r="28" ht="27" customHeight="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</row>
  </sheetData>
  <mergeCells count="8">
    <mergeCell ref="F17:J17"/>
    <mergeCell ref="F15:J15"/>
    <mergeCell ref="F12:J12"/>
    <mergeCell ref="F16:J16"/>
    <mergeCell ref="A3:J3"/>
    <mergeCell ref="A2:J2"/>
    <mergeCell ref="F14:J14"/>
    <mergeCell ref="F13:J13"/>
  </mergeCells>
  <conditionalFormatting sqref="H6:H9">
    <cfRule type="containsText" priority="1" operator="containsText" dxfId="0" text="Follow-up"/>
  </conditionalFormatting>
  <conditionalFormatting sqref="H10">
    <cfRule type="containsText" priority="1" operator="containsText" dxfId="0" text="Follow-up"/>
  </conditionalFormatting>
  <dataValidations count="4">
    <dataValidation sqref="C6:C10 F6:F10" showDropDown="0" showInputMessage="0" showErrorMessage="0" allowBlank="0" type="list">
      <formula1>"Pending,Pass,Needs practice"</formula1>
    </dataValidation>
    <dataValidation sqref="G6:G10" showDropDown="0" showInputMessage="0" showErrorMessage="0" allowBlank="0" type="list">
      <formula1>"Pending,Approved,Not approved"</formula1>
    </dataValidation>
    <dataValidation sqref="D6:E10" showDropDown="0" showInputMessage="0" showErrorMessage="0" allowBlank="0" type="whole">
      <formula1>0</formula1>
      <formula2>100</formula2>
    </dataValidation>
    <dataValidation sqref="B6:B10" showDropDown="0" showInputMessage="0" showErrorMessage="0" allowBlank="0" type="whole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2026-10-07T03:41:21Z</dcterms:created>
  <dcterms:modified xmlns:dcterms="http://purl.org/dc/terms/" xmlns:xsi="http://www.w3.org/2001/XMLSchema-instance" xsi:type="dcterms:W3CDTF">2026-10-08T07:51:46Z</dcterms:modified>
</cp:coreProperties>
</file>