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Management Overview" sheetId="1" state="visible" r:id="rId1"/>
    <sheet xmlns:r="http://schemas.openxmlformats.org/officeDocument/2006/relationships" name="Daily Training Plan" sheetId="2" state="visible" r:id="rId2"/>
    <sheet xmlns:r="http://schemas.openxmlformats.org/officeDocument/2006/relationships" name="Assessment Tracker" sheetId="3" state="visible" r:id="rId3"/>
  </sheets>
  <definedNames/>
  <calcPr calcId="191028" fullCalcOnLoad="1" refMode="R1C1" iterateCount="0" calcOnSave="0" concurrentCalc="0"/>
</workbook>
</file>

<file path=xl/styles.xml><?xml version="1.0" encoding="utf-8"?>
<styleSheet xmlns="http://schemas.openxmlformats.org/spreadsheetml/2006/main">
  <numFmts count="2">
    <numFmt numFmtId="164" formatCode="dd\ mmm\ yyyy"/>
    <numFmt numFmtId="165" formatCode="ddd\,\ dd\ mmm"/>
  </numFmts>
  <fonts count="6">
    <font>
      <name val="Carlito"/>
      <sz val="11"/>
    </font>
    <font>
      <name val="Arial"/>
      <color rgb="FF223449"/>
      <sz val="11"/>
    </font>
    <font>
      <name val="Arial"/>
      <b val="1"/>
      <color rgb="FF18334F"/>
      <sz val="17"/>
    </font>
    <font>
      <name val="Arial"/>
      <b val="1"/>
      <color rgb="FF223449"/>
      <sz val="11"/>
    </font>
    <font>
      <name val="Arial"/>
      <b val="1"/>
      <color rgb="FFFFFFFF"/>
      <sz val="11"/>
    </font>
    <font>
      <name val="Carlito"/>
      <sz val="11"/>
    </font>
  </fonts>
  <fills count="5">
    <fill>
      <patternFill/>
    </fill>
    <fill>
      <patternFill patternType="gray125"/>
    </fill>
    <fill>
      <patternFill patternType="solid">
        <fgColor rgb="FF18334F"/>
      </patternFill>
    </fill>
    <fill>
      <patternFill patternType="solid">
        <fgColor rgb="FFEAF1F8"/>
      </patternFill>
    </fill>
    <fill>
      <patternFill patternType="solid">
        <fgColor rgb="FFFFF2CC"/>
      </patternFill>
    </fill>
  </fills>
  <borders count="1">
    <border>
      <left/>
      <right/>
      <top/>
      <bottom/>
      <diagonal/>
    </border>
  </borders>
  <cellStyleXfs count="2">
    <xf numFmtId="0" fontId="5" fillId="0" borderId="0"/>
    <xf numFmtId="0" fontId="5" fillId="0" borderId="0"/>
  </cellStyleXfs>
  <cellXfs count="18">
    <xf numFmtId="0" fontId="0" fillId="0" borderId="0" pivotButton="0" quotePrefix="0" xfId="0"/>
    <xf numFmtId="0" fontId="1" fillId="0" borderId="0" applyAlignment="1" pivotButton="0" quotePrefix="0" xfId="1">
      <alignment vertical="center"/>
    </xf>
    <xf numFmtId="0" fontId="1" fillId="0" borderId="0" applyAlignment="1" pivotButton="0" quotePrefix="0" xfId="1">
      <alignment vertical="center" wrapText="1"/>
    </xf>
    <xf numFmtId="0" fontId="4" fillId="2" borderId="0" applyAlignment="1" pivotButton="0" quotePrefix="0" xfId="1">
      <alignment vertical="center" wrapText="1"/>
    </xf>
    <xf numFmtId="0" fontId="1" fillId="3" borderId="0" applyAlignment="1" pivotButton="0" quotePrefix="0" xfId="1">
      <alignment vertical="center" wrapText="1"/>
    </xf>
    <xf numFmtId="164" fontId="1" fillId="0" borderId="0" applyAlignment="1" pivotButton="0" quotePrefix="0" xfId="1">
      <alignment vertical="center"/>
    </xf>
    <xf numFmtId="0" fontId="1" fillId="4" borderId="0" applyAlignment="1" pivotButton="0" quotePrefix="0" xfId="1">
      <alignment vertical="center" wrapText="1"/>
    </xf>
    <xf numFmtId="0" fontId="1" fillId="3" borderId="0" applyAlignment="1" pivotButton="0" quotePrefix="0" xfId="1">
      <alignment vertical="center"/>
    </xf>
    <xf numFmtId="165" fontId="1" fillId="3" borderId="0" applyAlignment="1" pivotButton="0" quotePrefix="0" xfId="1">
      <alignment vertical="center"/>
    </xf>
    <xf numFmtId="165" fontId="1" fillId="0" borderId="0" applyAlignment="1" pivotButton="0" quotePrefix="0" xfId="1">
      <alignment vertical="center"/>
    </xf>
    <xf numFmtId="0" fontId="1" fillId="4" borderId="0" applyAlignment="1" pivotButton="0" quotePrefix="0" xfId="1">
      <alignment vertical="center"/>
    </xf>
    <xf numFmtId="164" fontId="1" fillId="4" borderId="0" applyAlignment="1" pivotButton="0" quotePrefix="0" xfId="1">
      <alignment vertical="center" wrapText="1"/>
    </xf>
    <xf numFmtId="0" fontId="3" fillId="0" borderId="0" applyAlignment="1" pivotButton="0" quotePrefix="0" xfId="1">
      <alignment vertical="center" wrapText="1"/>
    </xf>
    <xf numFmtId="0" fontId="1" fillId="0" borderId="0" applyAlignment="1" pivotButton="0" quotePrefix="0" xfId="1">
      <alignment vertical="center" wrapText="1"/>
    </xf>
    <xf numFmtId="0" fontId="1" fillId="3" borderId="0" applyAlignment="1" pivotButton="0" quotePrefix="0" xfId="1">
      <alignment vertical="center" wrapText="1"/>
    </xf>
    <xf numFmtId="0" fontId="4" fillId="2" borderId="0" applyAlignment="1" pivotButton="0" quotePrefix="0" xfId="1">
      <alignment vertical="center" wrapText="1"/>
    </xf>
    <xf numFmtId="0" fontId="2" fillId="0" borderId="0" applyAlignment="1" pivotButton="0" quotePrefix="0" xfId="1">
      <alignment vertical="center"/>
    </xf>
    <xf numFmtId="0" fontId="1" fillId="0" borderId="0" applyAlignment="1" pivotButton="0" quotePrefix="0" xfId="1">
      <alignment vertical="center"/>
    </xf>
  </cellXfs>
  <cellStyles count="2">
    <cellStyle name="표준" xfId="0" builtinId="0"/>
    <cellStyle name="Normal" xfId="1"/>
  </cellStyles>
  <dxfs count="1">
    <dxf>
      <font>
        <color rgb="FF9C2800"/>
      </font>
      <fill>
        <patternFill patternType="solid">
          <bgColor rgb="FFFCE4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8334F"/>
    <outlinePr summaryBelow="1" summaryRight="1"/>
    <pageSetUpPr/>
  </sheetPr>
  <dimension ref="A1:F31"/>
  <sheetViews>
    <sheetView showGridLines="0" tabSelected="1" workbookViewId="0">
      <selection activeCell="A1" sqref="A1"/>
    </sheetView>
  </sheetViews>
  <sheetFormatPr baseColWidth="8" defaultRowHeight="15"/>
  <cols>
    <col width="21.625" customWidth="1" min="1" max="1"/>
    <col width="42.75" customWidth="1" min="2" max="2"/>
    <col width="15" customWidth="1" min="3" max="3"/>
    <col width="33.375" customWidth="1" min="4" max="4"/>
    <col width="13.875" customWidth="1" min="5" max="5"/>
    <col width="21.625" customWidth="1" min="6" max="6"/>
  </cols>
  <sheetData>
    <row r="1" ht="27" customHeight="1">
      <c r="A1" s="17" t="n"/>
      <c r="B1" s="17" t="n"/>
      <c r="C1" s="17" t="n"/>
      <c r="D1" s="17" t="n"/>
      <c r="E1" s="17" t="n"/>
      <c r="F1" s="17" t="n"/>
    </row>
    <row r="2" ht="33.95" customHeight="1">
      <c r="A2" s="16" t="inlineStr">
        <is>
          <t>MK TECH | RCP Training Proposal</t>
        </is>
      </c>
    </row>
    <row r="3" ht="27" customHeight="1">
      <c r="A3" s="17" t="n"/>
      <c r="B3" s="17" t="n"/>
      <c r="C3" s="17" t="n"/>
      <c r="D3" s="17" t="n"/>
      <c r="E3" s="17" t="n"/>
      <c r="F3" s="17" t="n"/>
    </row>
    <row r="4" ht="33.95" customHeight="1">
      <c r="A4" s="12" t="inlineStr">
        <is>
          <t>Training period</t>
        </is>
      </c>
      <c r="B4" s="13" t="inlineStr">
        <is>
          <t>19–30 October 2026 (10 weekdays)</t>
        </is>
      </c>
      <c r="C4" s="17" t="n"/>
      <c r="D4" s="15" t="inlineStr">
        <is>
          <t>PROPOSED TRAINING OUTCOME</t>
        </is>
      </c>
    </row>
    <row r="5" ht="39" customHeight="1">
      <c r="A5" s="12" t="inlineStr">
        <is>
          <t>Location</t>
        </is>
      </c>
      <c r="B5" s="13" t="inlineStr">
        <is>
          <t>Malaysia, Penang site</t>
        </is>
      </c>
      <c r="C5" s="17" t="n"/>
      <c r="D5" s="14" t="inlineStr">
        <is>
          <t>Week 1: Build the RCP lab server, MSSQL database, application and UI; register a site (vehicles, tags, PLC); operate all OCS screens.</t>
        </is>
      </c>
    </row>
    <row r="6" ht="39" customHeight="1">
      <c r="A6" s="12" t="inlineStr">
        <is>
          <t>Trainer</t>
        </is>
      </c>
      <c r="B6" s="13" t="inlineStr">
        <is>
          <t>Park Jae Min</t>
        </is>
      </c>
      <c r="C6" s="17" t="n"/>
    </row>
    <row r="7" ht="39" customHeight="1">
      <c r="A7" s="12" t="inlineStr">
        <is>
          <t>Participants</t>
        </is>
      </c>
      <c r="B7" s="13" t="inlineStr">
        <is>
          <t>Thines, Areez, Farizal and Darwin</t>
        </is>
      </c>
      <c r="C7" s="17" t="n"/>
      <c r="D7" s="14" t="inlineStr">
        <is>
          <t>Week 2: Edit maps (OCS settings, RailDesignTool, MapLoad), trace HSMS with the MCS simulator, diagnose alarms and faults, operate Rose MirrorHA.</t>
        </is>
      </c>
    </row>
    <row r="8" ht="39" customHeight="1">
      <c r="A8" s="12" t="inlineStr">
        <is>
          <t>Coordinator</t>
        </is>
      </c>
      <c r="B8" s="13" t="inlineStr">
        <is>
          <t>Darwin</t>
        </is>
      </c>
      <c r="C8" s="17" t="n"/>
    </row>
    <row r="9" ht="39" customHeight="1">
      <c r="A9" s="12" t="inlineStr">
        <is>
          <t>Purpose</t>
        </is>
      </c>
      <c r="B9" s="13" t="inlineStr">
        <is>
          <t>Build MMP capability to set up, maintain and troubleshoot RCP.</t>
        </is>
      </c>
      <c r="C9" s="17" t="n"/>
      <c r="D9" s="14" t="inlineStr">
        <is>
          <t>Each trainee: complete an independent practical test and explain recovery.</t>
        </is>
      </c>
    </row>
    <row r="10" ht="39" customHeight="1">
      <c r="A10" s="12" t="inlineStr">
        <is>
          <t>Trainer background</t>
        </is>
      </c>
      <c r="B10" s="13" t="inlineStr">
        <is>
          <t>New AATT staff on the lifter project; previous RCP setup experience.</t>
        </is>
      </c>
      <c r="C10" s="17" t="n"/>
    </row>
    <row r="11" ht="39" customHeight="1">
      <c r="A11" s="12" t="inlineStr">
        <is>
          <t>Availability context</t>
        </is>
      </c>
      <c r="B11" s="13" t="inlineStr">
        <is>
          <t>Expected at Penang this week through November; India project starts December.</t>
        </is>
      </c>
      <c r="C11" s="17" t="n"/>
      <c r="D11" s="14" t="inlineStr">
        <is>
          <t>Handover: setup guide, map change checklist, fault guide and results.</t>
        </is>
      </c>
    </row>
    <row r="12" ht="39" customHeight="1">
      <c r="A12" s="12" t="inlineStr">
        <is>
          <t>Daily timetable (proposed)</t>
        </is>
      </c>
      <c r="B12" s="13" t="inlineStr">
        <is>
          <t>09:00–12:00 and 13:00–16:00, Malaysia time</t>
        </is>
      </c>
      <c r="C12" s="17" t="n"/>
    </row>
    <row r="13" ht="39" customHeight="1">
      <c r="A13" s="12" t="inlineStr">
        <is>
          <t>Training hours</t>
        </is>
      </c>
      <c r="B13" s="13">
        <f>SUM('Daily Training Plan'!H6:H15)</f>
        <v/>
      </c>
      <c r="C13" s="17" t="n"/>
      <c r="D13" s="17" t="n"/>
      <c r="E13" s="17" t="n"/>
      <c r="F13" s="17" t="n"/>
    </row>
    <row r="14" ht="27" customHeight="1">
      <c r="A14" s="17" t="n"/>
      <c r="B14" s="17" t="n"/>
      <c r="C14" s="17" t="n"/>
      <c r="D14" s="17" t="n"/>
      <c r="E14" s="17" t="n"/>
      <c r="F14" s="17" t="n"/>
    </row>
    <row r="15" ht="27" customHeight="1">
      <c r="A15" s="17" t="n"/>
      <c r="B15" s="17" t="n"/>
      <c r="C15" s="17" t="n"/>
      <c r="D15" s="17" t="n"/>
      <c r="E15" s="17" t="n"/>
      <c r="F15" s="17" t="n"/>
    </row>
    <row r="16" ht="33.95" customHeight="1">
      <c r="A16" s="15" t="inlineStr">
        <is>
          <t>Before training</t>
        </is>
      </c>
      <c r="B16" s="15" t="inlineStr">
        <is>
          <t>Owner</t>
        </is>
      </c>
      <c r="C16" s="15" t="inlineStr">
        <is>
          <t>Due</t>
        </is>
      </c>
      <c r="D16" s="15" t="inlineStr">
        <is>
          <t>Requirement / deliverable</t>
        </is>
      </c>
      <c r="E16" s="15" t="inlineStr">
        <is>
          <t>Status</t>
        </is>
      </c>
      <c r="F16" s="15" t="inlineStr">
        <is>
          <t>Notes</t>
        </is>
      </c>
    </row>
    <row r="17" ht="60" customHeight="1">
      <c r="A17" s="17" t="inlineStr">
        <is>
          <t>Confirm availability</t>
        </is>
      </c>
      <c r="B17" s="17" t="inlineStr">
        <is>
          <t>Darwin + Park Jae Min</t>
        </is>
      </c>
      <c r="C17" s="5" t="n">
        <v>46304</v>
      </c>
      <c r="D17" s="13" t="inlineStr">
        <is>
          <t>Agree scope, dates and trainer availability</t>
        </is>
      </c>
      <c r="E17" s="6" t="inlineStr">
        <is>
          <t>Pending</t>
        </is>
      </c>
      <c r="F17" s="6" t="inlineStr">
        <is>
          <t>Align with project duties.</t>
        </is>
      </c>
    </row>
    <row r="18" ht="60" customHeight="1">
      <c r="A18" s="17" t="inlineStr">
        <is>
          <t>Prepare lab</t>
        </is>
      </c>
      <c r="B18" s="17" t="inlineStr">
        <is>
          <t>Darwin</t>
        </is>
      </c>
      <c r="C18" s="5" t="n">
        <v>46311</v>
      </c>
      <c r="D18" s="13" t="inlineStr">
        <is>
          <t>Training VM (Windows Server) with test network; MSSQL 2016 media; IIS; Office / AccessDatabaseEngine; RailDesignTool on two PCs</t>
        </is>
      </c>
      <c r="E18" s="6" t="inlineStr">
        <is>
          <t>Pending</t>
        </is>
      </c>
      <c r="F18" s="6" t="inlineStr">
        <is>
          <t>Use isolated test environment.</t>
        </is>
      </c>
    </row>
    <row r="19" ht="60" customHeight="1">
      <c r="A19" s="17" t="inlineStr">
        <is>
          <t>Prepare RCP materials</t>
        </is>
      </c>
      <c r="B19" s="17" t="inlineStr">
        <is>
          <t>Park Jae Min</t>
        </is>
      </c>
      <c r="C19" s="5" t="n">
        <v>46311</v>
      </c>
      <c r="D19" s="13" t="inlineStr">
        <is>
          <t>RCP installer and version, base software list, sample DB, map and tag Excel, manuals, XCom Simulator and Simulation.exe</t>
        </is>
      </c>
      <c r="E19" s="6" t="inlineStr">
        <is>
          <t>Pending</t>
        </is>
      </c>
      <c r="F19" s="6" t="inlineStr">
        <is>
          <t>Confirm site RCP version with Darwin.</t>
        </is>
      </c>
    </row>
    <row r="20" ht="60" customHeight="1">
      <c r="A20" s="17" t="inlineStr">
        <is>
          <t>Prepare HSMS test</t>
        </is>
      </c>
      <c r="B20" s="17" t="inlineStr">
        <is>
          <t>Park Jae Min + Darwin</t>
        </is>
      </c>
      <c r="C20" s="5" t="n">
        <v>46311</v>
      </c>
      <c r="D20" s="13" t="inlineStr">
        <is>
          <t>XCom Simulator (MCS simulator) on the lab server with cfg/sml files and message examples; Rose MirrorHA test pair (or read-only window on the live pair) for Day 9</t>
        </is>
      </c>
      <c r="E20" s="6" t="inlineStr">
        <is>
          <t>Pending</t>
        </is>
      </c>
      <c r="F20" s="6" t="inlineStr">
        <is>
          <t>Confirm simulator and Rose console access.</t>
        </is>
      </c>
    </row>
    <row r="21" ht="60" customHeight="1">
      <c r="A21" s="17" t="inlineStr">
        <is>
          <t>Release trainees</t>
        </is>
      </c>
      <c r="B21" s="17" t="inlineStr">
        <is>
          <t>MMP manager</t>
        </is>
      </c>
      <c r="C21" s="5" t="n">
        <v>46311</v>
      </c>
      <c r="D21" s="13" t="inlineStr">
        <is>
          <t>Protect 6 hours/day and arrange operational cover</t>
        </is>
      </c>
      <c r="E21" s="6" t="inlineStr">
        <is>
          <t>Pending</t>
        </is>
      </c>
      <c r="F21" s="6" t="inlineStr">
        <is>
          <t>All four attend common modules.</t>
        </is>
      </c>
    </row>
    <row r="22" ht="60" customHeight="1">
      <c r="A22" s="17" t="inlineStr">
        <is>
          <t>Confirm access</t>
        </is>
      </c>
      <c r="B22" s="17" t="inlineStr">
        <is>
          <t>Darwin</t>
        </is>
      </c>
      <c r="C22" s="5" t="n">
        <v>46311</v>
      </c>
      <c r="D22" s="13" t="inlineStr">
        <is>
          <t>Individual lab access and backup/restore baseline; site confirmations (MCS_IF UI window, MapLoad file type MDB/JSON, AltTransfer screen); sample site logs with IP/host names masked</t>
        </is>
      </c>
      <c r="E22" s="6" t="inlineStr">
        <is>
          <t>Pending</t>
        </is>
      </c>
      <c r="F22" s="6" t="inlineStr">
        <is>
          <t>Each trainee needs hands-on time.</t>
        </is>
      </c>
    </row>
    <row r="23" ht="27" customHeight="1">
      <c r="A23" s="17" t="n"/>
      <c r="B23" s="17" t="n"/>
      <c r="C23" s="17" t="n"/>
      <c r="D23" s="17" t="n"/>
      <c r="E23" s="17" t="n"/>
      <c r="F23" s="17" t="n"/>
    </row>
    <row r="24" ht="27" customHeight="1">
      <c r="A24" s="17" t="n"/>
      <c r="B24" s="17" t="n"/>
      <c r="C24" s="17" t="n"/>
      <c r="D24" s="17" t="n"/>
      <c r="E24" s="17" t="n"/>
      <c r="F24" s="17" t="n"/>
    </row>
    <row r="25" ht="33.95" customHeight="1">
      <c r="A25" s="15" t="inlineStr">
        <is>
          <t>Planning assumptions and follow-up</t>
        </is>
      </c>
    </row>
    <row r="26" ht="33" customHeight="1">
      <c r="A26" s="13" t="inlineStr">
        <is>
          <t>This is the proposed agenda with the technical sequence filled in by Park Jae Min. Content follows the OCS user manuals, installation standard, setup guide, Parameter manual, RailDesignTool manual and Rose MirrorHA operation guide.</t>
        </is>
      </c>
    </row>
    <row r="27" ht="33" customHeight="1">
      <c r="A27" s="13" t="inlineStr">
        <is>
          <t>Proposed pass: knowledge ≥70%, practical ≥80%, all critical checks passed and trainer sign-off.</t>
        </is>
      </c>
    </row>
    <row r="28" ht="33" customHeight="1">
      <c r="A28" s="13" t="inlineStr">
        <is>
          <t>Knowledge transfer uses lab data. Map and DB changes include backup, validation and rollback exercises.</t>
        </is>
      </c>
    </row>
    <row r="29" ht="33" customHeight="1">
      <c r="A29" s="13" t="inlineStr">
        <is>
          <t>November: schedule supervised support and retests for gaps before the trainer leaves for India.</t>
        </is>
      </c>
    </row>
    <row r="30" ht="27" customHeight="1">
      <c r="A30" s="17" t="n"/>
      <c r="B30" s="17" t="n"/>
      <c r="C30" s="17" t="n"/>
      <c r="D30" s="17" t="n"/>
      <c r="E30" s="17" t="n"/>
      <c r="F30" s="17" t="n"/>
    </row>
    <row r="31" ht="27" customHeight="1">
      <c r="A31" s="17" t="n"/>
      <c r="B31" s="17" t="n"/>
      <c r="C31" s="17" t="n"/>
      <c r="D31" s="17" t="n"/>
      <c r="E31" s="17" t="n"/>
      <c r="F31" s="17" t="n"/>
    </row>
  </sheetData>
  <mergeCells count="11">
    <mergeCell ref="D11:F12"/>
    <mergeCell ref="A2:F2"/>
    <mergeCell ref="A28:F28"/>
    <mergeCell ref="D5:F6"/>
    <mergeCell ref="D4:F4"/>
    <mergeCell ref="A27:F27"/>
    <mergeCell ref="D9:F10"/>
    <mergeCell ref="A26:F26"/>
    <mergeCell ref="D7:F8"/>
    <mergeCell ref="A29:F29"/>
    <mergeCell ref="A25:F25"/>
  </mergeCells>
  <dataValidations count="1">
    <dataValidation sqref="E17:E22" showDropDown="0" showInputMessage="0" showErrorMessage="0" allowBlank="0" type="list">
      <formula1>"Pending,In progress,Ready,Blocked"</formula1>
    </dataValidation>
  </dataValidations>
  <pageMargins left="0.7" right="0.7" top="0.75" bottom="0.75" header="0.3" footer="0.3"/>
</worksheet>
</file>

<file path=xl/worksheets/sheet2.xml><?xml version="1.0" encoding="utf-8"?>
<worksheet xmlns="http://schemas.openxmlformats.org/spreadsheetml/2006/main">
  <sheetPr>
    <tabColor rgb="FF18334F"/>
    <outlinePr summaryBelow="1" summaryRight="1"/>
    <pageSetUpPr/>
  </sheetPr>
  <dimension ref="A1:J19"/>
  <sheetViews>
    <sheetView showGridLines="0" workbookViewId="0">
      <pane xSplit="2" ySplit="5" topLeftCell="C6" activePane="bottomRight" state="frozen"/>
      <selection pane="bottomRight" activeCell="A1" sqref="A1"/>
      <selection pane="bottomLeft" activeCell="A1" sqref="A1"/>
      <selection pane="topRight" activeCell="A1" sqref="A1"/>
    </sheetView>
  </sheetViews>
  <sheetFormatPr baseColWidth="8" defaultRowHeight="15"/>
  <cols>
    <col width="5.375" customWidth="1" min="1" max="1"/>
    <col width="13.875" customWidth="1" min="2" max="2"/>
    <col width="24.5" customWidth="1" min="3" max="3"/>
    <col width="38.875" customWidth="1" min="4" max="5"/>
    <col width="37.75" customWidth="1" min="6" max="6"/>
    <col width="26.125" customWidth="1" min="7" max="7"/>
    <col width="7.25" customWidth="1" min="8" max="8"/>
    <col width="13.875" customWidth="1" min="9" max="9"/>
    <col width="24.5" customWidth="1" min="10" max="10"/>
  </cols>
  <sheetData>
    <row r="1" ht="27" customHeight="1">
      <c r="A1" s="17" t="n"/>
      <c r="B1" s="17" t="n"/>
      <c r="C1" s="17" t="n"/>
      <c r="D1" s="17" t="n"/>
      <c r="E1" s="17" t="n"/>
      <c r="F1" s="17" t="n"/>
      <c r="G1" s="17" t="n"/>
      <c r="H1" s="17" t="n"/>
      <c r="I1" s="17" t="n"/>
      <c r="J1" s="17" t="n"/>
    </row>
    <row r="2" ht="33.95" customHeight="1">
      <c r="A2" s="16" t="inlineStr">
        <is>
          <t>RCP | Two-week Daily Training Plan</t>
        </is>
      </c>
    </row>
    <row r="3" ht="27" customHeight="1">
      <c r="A3" s="17" t="inlineStr">
        <is>
          <t>Trainer: Park Jae Min | All sessions: Thines, Areez, Farizal, Darwin | Proposed times: MYT</t>
        </is>
      </c>
    </row>
    <row r="4" ht="27" customHeight="1">
      <c r="A4" s="17" t="n"/>
      <c r="B4" s="17" t="n"/>
      <c r="C4" s="17" t="n"/>
      <c r="D4" s="17" t="n"/>
      <c r="E4" s="17" t="n"/>
      <c r="F4" s="17" t="n"/>
      <c r="G4" s="17" t="n"/>
      <c r="H4" s="17" t="n"/>
      <c r="I4" s="17" t="n"/>
      <c r="J4" s="17" t="n"/>
    </row>
    <row r="5" ht="33.95" customHeight="1">
      <c r="A5" s="15" t="inlineStr">
        <is>
          <t>Day</t>
        </is>
      </c>
      <c r="B5" s="15" t="inlineStr">
        <is>
          <t>Date</t>
        </is>
      </c>
      <c r="C5" s="15" t="inlineStr">
        <is>
          <t>Module</t>
        </is>
      </c>
      <c r="D5" s="15" t="inlineStr">
        <is>
          <t>09:00–12:00 | Explain &amp; demonstrate</t>
        </is>
      </c>
      <c r="E5" s="15" t="inlineStr">
        <is>
          <t>13:00–15:00 | Hands-on practice</t>
        </is>
      </c>
      <c r="F5" s="15" t="inlineStr">
        <is>
          <t>15:00–16:00 | Review / test</t>
        </is>
      </c>
      <c r="G5" s="15" t="inlineStr">
        <is>
          <t>Daily deliverable</t>
        </is>
      </c>
      <c r="H5" s="15" t="inlineStr">
        <is>
          <t>Hours</t>
        </is>
      </c>
      <c r="I5" s="15" t="inlineStr">
        <is>
          <t>Status</t>
        </is>
      </c>
      <c r="J5" s="15" t="inlineStr">
        <is>
          <t>Actual notes</t>
        </is>
      </c>
    </row>
    <row r="6" ht="104.1" customHeight="1">
      <c r="A6" s="7" t="n">
        <v>1</v>
      </c>
      <c r="B6" s="8" t="n">
        <v>46314</v>
      </c>
      <c r="C6" s="14" t="inlineStr">
        <is>
          <t>Architecture &amp; server preparation</t>
        </is>
      </c>
      <c r="D6" s="14" t="inlineStr">
        <is>
          <t>RCP/OCS components (Core, PlcDriver, MCS_IF, UI, DB) and what each talks to; server and network layout; config files and folders; startup order and Core state; installation standard, pre-delivery checklist</t>
        </is>
      </c>
      <c r="E6" s="14" t="inlineStr">
        <is>
          <t>Check the lab server against the installation standard: required software, firewall, NIC teaming, RDP, UPS; CMD diagnostics (ping, netstat); draw the component flow</t>
        </is>
      </c>
      <c r="F6" s="14" t="inlineStr">
        <is>
          <t>Each trainee explains the component flow and startup order and shows the server checklist</t>
        </is>
      </c>
      <c r="G6" s="14" t="inlineStr">
        <is>
          <t>Architecture sketch + server readiness checklist</t>
        </is>
      </c>
      <c r="H6" s="7" t="n">
        <v>6</v>
      </c>
      <c r="I6" s="10" t="inlineStr">
        <is>
          <t>Planned</t>
        </is>
      </c>
      <c r="J6" s="6" t="n"/>
    </row>
    <row r="7" ht="104.1" customHeight="1">
      <c r="A7" s="17" t="n">
        <v>2</v>
      </c>
      <c r="B7" s="9" t="n">
        <v>46315</v>
      </c>
      <c r="C7" s="13" t="inlineStr">
        <is>
          <t>Database setup &amp; maintenance</t>
        </is>
      </c>
      <c r="D7" s="13" t="inlineStr">
        <is>
          <t>MSSQL 2016 installation per standard (Agent auto-start, data path on mirror disk); DB build queries; backup plan and folders; History tables and Agent jobs; SQL memory cap; log retention and disk settings</t>
        </is>
      </c>
      <c r="E7" s="13" t="inlineStr">
        <is>
          <t>Install MSSQL, run the 3-step DB build, fix a seeded path fault; set backup folders; check services, MDF/LDF growth and Agent jobs; restore from backup</t>
        </is>
      </c>
      <c r="F7" s="13" t="inlineStr">
        <is>
          <t>Each trainee restores the training DB from backup and explains the backup/retention settings</t>
        </is>
      </c>
      <c r="G7" s="13" t="inlineStr">
        <is>
          <t>DB setup guide + backup/restore evidence</t>
        </is>
      </c>
      <c r="H7" s="17" t="n">
        <v>6</v>
      </c>
      <c r="I7" s="10" t="inlineStr">
        <is>
          <t>Planned</t>
        </is>
      </c>
      <c r="J7" s="6" t="n"/>
    </row>
    <row r="8" ht="104.1" customHeight="1">
      <c r="A8" s="7" t="n">
        <v>3</v>
      </c>
      <c r="B8" s="8" t="n">
        <v>46316</v>
      </c>
      <c r="C8" s="14" t="inlineStr">
        <is>
          <t>Application installation &amp; site configuration</t>
        </is>
      </c>
      <c r="D8" s="14" t="inlineStr">
        <is>
          <t>Base software and RCP install order; UI deployment on IIS and the 4 typical UI errors; simulator environment (XCom Simulator, Simulation.exe); registering a site: CommGroup → Vehicle → Station → OrderGroup; Tag 3-step registration and PlcTag file; PLC connection fields</t>
        </is>
      </c>
      <c r="E8" s="14" t="inlineStr">
        <is>
          <t>Each trainee installs RCP on the lab server from a clean baseline, brings Core up, deploys the UI, registers one vehicle and one PLC unit, loads tags from Excel and runs one order in the simulator</t>
        </is>
      </c>
      <c r="F8" s="14" t="inlineStr">
        <is>
          <t>Start RCP from clean baseline; identify a seeded configuration fault (DB IP / config / tag mapping)</t>
        </is>
      </c>
      <c r="G8" s="14" t="inlineStr">
        <is>
          <t>Application + site setup checklist</t>
        </is>
      </c>
      <c r="H8" s="7" t="n">
        <v>6</v>
      </c>
      <c r="I8" s="10" t="inlineStr">
        <is>
          <t>Planned</t>
        </is>
      </c>
      <c r="J8" s="6" t="n"/>
    </row>
    <row r="9" ht="104.1" customHeight="1">
      <c r="A9" s="17" t="n">
        <v>4</v>
      </c>
      <c r="B9" s="9" t="n">
        <v>46317</v>
      </c>
      <c r="C9" s="13" t="inlineStr">
        <is>
          <t>OCS screen operation (1) &amp; parameters</t>
        </is>
      </c>
      <c r="D9" s="13" t="inlineStr">
        <is>
          <t>Main screen, status lamps, object colours, search; login and rights; View / Layout Setting / DockSetting; System menu: SystemInfo, Status, Color; Parameter menu structure and dispatch/driving parameters (read only)</t>
        </is>
      </c>
      <c r="E9" s="13" t="inlineStr">
        <is>
          <t>Object menu hands-on: Vehicle Line In/Out, Prevent, Sub Command, Clean; Station mode; Point/CPS/MTL status; PLC, Ping unit and Tag group registration</t>
        </is>
      </c>
      <c r="F9" s="13" t="inlineStr">
        <is>
          <t>Screen drill: trainer names a field or action, trainee finds it and explains it</t>
        </is>
      </c>
      <c r="G9" s="13" t="inlineStr">
        <is>
          <t>Screen checklist part 1</t>
        </is>
      </c>
      <c r="H9" s="17" t="n">
        <v>6</v>
      </c>
      <c r="I9" s="10" t="inlineStr">
        <is>
          <t>Planned</t>
        </is>
      </c>
      <c r="J9" s="6" t="n"/>
    </row>
    <row r="10" ht="104.1" customHeight="1">
      <c r="A10" s="7" t="n">
        <v>5</v>
      </c>
      <c r="B10" s="8" t="n">
        <v>46318</v>
      </c>
      <c r="C10" s="14" t="inlineStr">
        <is>
          <t>OCS screen operation (2) &amp; Week-1 checkpoint</t>
        </is>
      </c>
      <c r="D10" s="14" t="inlineStr">
        <is>
          <t>Transfer commands and CycleMove; Report histories; ErrorHistory / HSMSHistory; Statistics; OrderList and NACK; AlarmList, ErrorList, PingList, CommEvent; PlayBack; Help Version / Define</t>
        </is>
      </c>
      <c r="E10" s="14" t="inlineStr">
        <is>
          <t>Manual transfer and CycleMove on the simulator; look up histories and statistics; PlayBack export</t>
        </is>
      </c>
      <c r="F10" s="14" t="inlineStr">
        <is>
          <t>Week-1 checkpoint: each trainee walks through server → DB → application → site setup and the main screens</t>
        </is>
      </c>
      <c r="G10" s="14" t="inlineStr">
        <is>
          <t>Screen checklist part 2 + Week-1 checkpoint record</t>
        </is>
      </c>
      <c r="H10" s="7" t="n">
        <v>6</v>
      </c>
      <c r="I10" s="10" t="inlineStr">
        <is>
          <t>Planned</t>
        </is>
      </c>
      <c r="J10" s="6" t="n"/>
    </row>
    <row r="11" ht="104.1" customHeight="1">
      <c r="A11" s="17" t="n">
        <v>6</v>
      </c>
      <c r="B11" s="9" t="n">
        <v>46321</v>
      </c>
      <c r="C11" s="13" t="inlineStr">
        <is>
          <t>Map create, change &amp; update</t>
        </is>
      </c>
      <c r="D11" s="13" t="inlineStr">
        <is>
          <t>Map structure; OCS-side traffic settings: Unuse, Home, Cluster, StationWeightGroup, AutoPark, Point type, UserBlock, Safety/CPS/MTL zones, Layout Run; RailDesignTool basics; vehicle spec and Safety Margin; auto-blocking</t>
        </is>
      </c>
      <c r="E11" s="13" t="inlineStr">
        <is>
          <t>Edit traffic settings on the lab OCS; in RDT open the site map, draw a segment, run auto-blocking, export JSON; MapLoad on the lab server with BackupPath</t>
        </is>
      </c>
      <c r="F11" s="13" t="inlineStr">
        <is>
          <t>Each trainee applies a map change on the lab server and explains the rollback path and live-system impact</t>
        </is>
      </c>
      <c r="G11" s="13" t="inlineStr">
        <is>
          <t>Validated map + change/rollback record</t>
        </is>
      </c>
      <c r="H11" s="17" t="n">
        <v>6</v>
      </c>
      <c r="I11" s="10" t="inlineStr">
        <is>
          <t>Planned</t>
        </is>
      </c>
      <c r="J11" s="6" t="n"/>
    </row>
    <row r="12" ht="104.1" customHeight="1">
      <c r="A12" s="7" t="n">
        <v>7</v>
      </c>
      <c r="B12" s="8" t="n">
        <v>46322</v>
      </c>
      <c r="C12" s="14" t="inlineStr">
        <is>
          <t>HSMS: RCP ↔ MCS</t>
        </is>
      </c>
      <c r="D12" s="14" t="inlineStr">
        <is>
          <t>MCS_IF configuration: cfg path, HSMS IP, XCom CfgSml, HostNetworkName; HSMS/SECS-II frame and timeouts T3–T8; connection sequence (S1F13/F17, S2F41, S2F49) and transfer events; where host communication problems show up (NackHistory, HSMSHistory, XCom log)</t>
        </is>
      </c>
      <c r="E12" s="14" t="inlineStr">
        <is>
          <t>Connect the lab OCS to the XCom simulator; register cfg/sml, bring the link to MCMD remote; send S2F49 and trace the order; recover from a seeded disconnect</t>
        </is>
      </c>
      <c r="F12" s="14" t="inlineStr">
        <is>
          <t>Each trainee explains a captured exchange and restores the seeded communication failure</t>
        </is>
      </c>
      <c r="G12" s="14" t="inlineStr">
        <is>
          <t>Communication checklist + annotated HSMS log</t>
        </is>
      </c>
      <c r="H12" s="7" t="n">
        <v>6</v>
      </c>
      <c r="I12" s="10" t="inlineStr">
        <is>
          <t>Planned</t>
        </is>
      </c>
      <c r="J12" s="6" t="n"/>
    </row>
    <row r="13" ht="104.1" customHeight="1">
      <c r="A13" s="17" t="n">
        <v>8</v>
      </c>
      <c r="B13" s="9" t="n">
        <v>46323</v>
      </c>
      <c r="C13" s="13" t="inlineStr">
        <is>
          <t>Simulation, alarms &amp; troubleshooting entry points</t>
        </is>
      </c>
      <c r="D13" s="13" t="inlineStr">
        <is>
          <t>Vehicle communication structure and OHT message basics; alarm classification (ErrType / ErrCode / ErrEvent); OCS log map (file log / DB history / UI / XCom); symptom → first screen or log for vehicle, order, server, startup, PLC problems</t>
        </is>
      </c>
      <c r="E13" s="13" t="inlineStr">
        <is>
          <t>Rotate fault stations on the simulator: startup failure, DB connection, vehicle no-response, order timeout, PLC comm alarm; read Comm log and CommErrHistory; isolate a communication break with ping / CMD</t>
        </is>
      </c>
      <c r="F13" s="13" t="inlineStr">
        <is>
          <t>Each trainee diagnoses two seeded faults, names the first screen/log and the recovery</t>
        </is>
      </c>
      <c r="G13" s="13" t="inlineStr">
        <is>
          <t>Fault isolation guide + incident records</t>
        </is>
      </c>
      <c r="H13" s="17" t="n">
        <v>6</v>
      </c>
      <c r="I13" s="10" t="inlineStr">
        <is>
          <t>Planned</t>
        </is>
      </c>
      <c r="J13" s="6" t="n"/>
    </row>
    <row r="14" ht="104.1" customHeight="1">
      <c r="A14" s="7" t="n">
        <v>9</v>
      </c>
      <c r="B14" s="8" t="n">
        <v>46324</v>
      </c>
      <c r="C14" s="14" t="inlineStr">
        <is>
          <t>Rose MirrorHA &amp; knowledge test</t>
        </is>
      </c>
      <c r="D14" s="14" t="inlineStr">
        <is>
          <t>Rose resources, groups, virtual IP and FailOver triggers; console status reading; Bring In / Bring Out; manual failover and failback; service verification; failure types and first actions</t>
        </is>
      </c>
      <c r="E14" s="14" t="inlineStr">
        <is>
          <t>On the Rose test pair: read status, manual failover and failback, verify RCP UI via VIP and FailOverHistory</t>
        </is>
      </c>
      <c r="F14" s="14" t="inlineStr">
        <is>
          <t>Knowledge test (written): setup, DB, screens, map, HSMS, alarms, Rose. Record scores and gaps</t>
        </is>
      </c>
      <c r="G14" s="14" t="inlineStr">
        <is>
          <t>Knowledge scores + Rose checklist</t>
        </is>
      </c>
      <c r="H14" s="7" t="n">
        <v>6</v>
      </c>
      <c r="I14" s="10" t="inlineStr">
        <is>
          <t>Planned</t>
        </is>
      </c>
      <c r="J14" s="6" t="n"/>
    </row>
    <row r="15" ht="104.1" customHeight="1">
      <c r="A15" s="17" t="n">
        <v>10</v>
      </c>
      <c r="B15" s="9" t="n">
        <v>46325</v>
      </c>
      <c r="C15" s="13" t="inlineStr">
        <is>
          <t>Individual practical &amp; handover</t>
        </is>
      </c>
      <c r="D15" s="13" t="inlineStr">
        <is>
          <t>Independent integrated practical: verify setup, edit map, register a vehicle/tag, run a simulation order, resolve a seeded fault and recover; trainer review and feedback</t>
        </is>
      </c>
      <c r="E15" s="13" t="inlineStr">
        <is>
          <t>Four individual practical slots (45 min each) in the morning; afternoon: targeted retest, handover of setup guide, map change checklist and fault guide</t>
        </is>
      </c>
      <c r="F15" s="13" t="inlineStr">
        <is>
          <t>Trainer records practical score, critical checks and sign-off; assign November follow-up (extended items)</t>
        </is>
      </c>
      <c r="G15" s="13" t="inlineStr">
        <is>
          <t>Individual results + handover pack + action list</t>
        </is>
      </c>
      <c r="H15" s="17" t="n">
        <v>6</v>
      </c>
      <c r="I15" s="10" t="inlineStr">
        <is>
          <t>Planned</t>
        </is>
      </c>
      <c r="J15" s="6" t="n"/>
    </row>
    <row r="16" ht="27" customHeight="1">
      <c r="A16" s="17" t="n"/>
      <c r="B16" s="17" t="n"/>
      <c r="C16" s="17" t="n"/>
      <c r="D16" s="17" t="n"/>
      <c r="E16" s="17" t="n"/>
      <c r="F16" s="17" t="n"/>
      <c r="G16" s="17" t="n"/>
      <c r="H16" s="17" t="n"/>
      <c r="I16" s="17" t="n"/>
      <c r="J16" s="17" t="n"/>
    </row>
    <row r="17" ht="30" customHeight="1">
      <c r="A17" s="17" t="inlineStr">
        <is>
          <t>Practice rotation: Thines + Areez / Farizal + Darwin. Rotate operator and reviewer. All final tests are individual.</t>
        </is>
      </c>
    </row>
    <row r="18" ht="27" customHeight="1">
      <c r="A18" s="17" t="inlineStr">
        <is>
          <t>Final day proposal: four 45-minute individual practical slots in the morning; afternoon for feedback, targeted retests and handover.</t>
        </is>
      </c>
    </row>
    <row r="19" ht="27" customHeight="1">
      <c r="A19" s="17" t="n"/>
      <c r="B19" s="17" t="n"/>
      <c r="C19" s="17" t="n"/>
      <c r="D19" s="17" t="n"/>
      <c r="E19" s="17" t="n"/>
      <c r="F19" s="17" t="n"/>
      <c r="G19" s="17" t="n"/>
      <c r="H19" s="17" t="n"/>
      <c r="I19" s="17" t="n"/>
      <c r="J19" s="17" t="n"/>
    </row>
  </sheetData>
  <mergeCells count="4">
    <mergeCell ref="A17:J17"/>
    <mergeCell ref="A18:J18"/>
    <mergeCell ref="A3:J3"/>
    <mergeCell ref="A2:J2"/>
  </mergeCells>
  <dataValidations count="1">
    <dataValidation sqref="I6:I15" showDropDown="0" showInputMessage="0" showErrorMessage="0" allowBlank="0" type="list">
      <formula1>"Planned,In progress,Completed,Rescheduled"</formula1>
    </dataValidation>
  </dataValidations>
  <pageMargins left="0.7" right="0.7" top="0.75" bottom="0.75" header="0.3" footer="0.3"/>
</worksheet>
</file>

<file path=xl/worksheets/sheet3.xml><?xml version="1.0" encoding="utf-8"?>
<worksheet xmlns="http://schemas.openxmlformats.org/spreadsheetml/2006/main">
  <sheetPr>
    <tabColor rgb="FF18334F"/>
    <outlinePr summaryBelow="1" summaryRight="1"/>
    <pageSetUpPr/>
  </sheetPr>
  <dimension ref="A1:J28"/>
  <sheetViews>
    <sheetView showGridLines="0" workbookViewId="0">
      <selection activeCell="A1" sqref="A1"/>
    </sheetView>
  </sheetViews>
  <sheetFormatPr baseColWidth="8" defaultRowHeight="15"/>
  <cols>
    <col width="23.875" customWidth="1" min="1" max="1"/>
    <col width="14.5" customWidth="1" min="2" max="2"/>
    <col width="17.25" customWidth="1" min="3" max="3"/>
    <col width="13.875" customWidth="1" min="4" max="5"/>
    <col width="16.125" customWidth="1" min="6" max="7"/>
    <col width="18.875" customWidth="1" min="8" max="8"/>
    <col width="25.5" customWidth="1" min="9" max="9"/>
    <col width="15" customWidth="1" min="10" max="10"/>
  </cols>
  <sheetData>
    <row r="1" ht="27" customHeight="1">
      <c r="A1" s="17" t="n"/>
      <c r="B1" s="17" t="n"/>
      <c r="C1" s="17" t="n"/>
      <c r="D1" s="17" t="n"/>
      <c r="E1" s="17" t="n"/>
      <c r="F1" s="17" t="n"/>
      <c r="G1" s="17" t="n"/>
      <c r="H1" s="17" t="n"/>
      <c r="I1" s="17" t="n"/>
      <c r="J1" s="17" t="n"/>
    </row>
    <row r="2" ht="33.95" customHeight="1">
      <c r="A2" s="16" t="inlineStr">
        <is>
          <t>RCP | Individual Assessment Tracker</t>
        </is>
      </c>
    </row>
    <row r="3" ht="27" customHeight="1">
      <c r="A3" s="17" t="inlineStr">
        <is>
          <t>Proposed criteria | Enter results after testing. Scores are 0–100; no results have been recorded.</t>
        </is>
      </c>
    </row>
    <row r="4" ht="27" customHeight="1">
      <c r="A4" s="17" t="n"/>
      <c r="B4" s="17" t="n"/>
      <c r="C4" s="17" t="n"/>
      <c r="D4" s="17" t="n"/>
      <c r="E4" s="17" t="n"/>
      <c r="F4" s="17" t="n"/>
      <c r="G4" s="17" t="n"/>
      <c r="H4" s="17" t="n"/>
      <c r="I4" s="17" t="n"/>
      <c r="J4" s="17" t="n"/>
    </row>
    <row r="5" ht="33.95" customHeight="1">
      <c r="A5" s="15" t="inlineStr">
        <is>
          <t>Trainee</t>
        </is>
      </c>
      <c r="B5" s="15" t="inlineStr">
        <is>
          <t>Attendance (days)</t>
        </is>
      </c>
      <c r="C5" s="15" t="inlineStr">
        <is>
          <t>Week 1 checkpoint</t>
        </is>
      </c>
      <c r="D5" s="15" t="inlineStr">
        <is>
          <t>Knowledge score</t>
        </is>
      </c>
      <c r="E5" s="15" t="inlineStr">
        <is>
          <t>Practical score</t>
        </is>
      </c>
      <c r="F5" s="15" t="inlineStr">
        <is>
          <t>Critical checks</t>
        </is>
      </c>
      <c r="G5" s="15" t="inlineStr">
        <is>
          <t>Trainer sign-off</t>
        </is>
      </c>
      <c r="H5" s="15" t="inlineStr">
        <is>
          <t>Result</t>
        </is>
      </c>
      <c r="I5" s="15" t="inlineStr">
        <is>
          <t>Gap / follow-up action</t>
        </is>
      </c>
      <c r="J5" s="15" t="inlineStr">
        <is>
          <t>Retest date</t>
        </is>
      </c>
    </row>
    <row r="6" ht="60" customHeight="1">
      <c r="A6" s="17" t="inlineStr">
        <is>
          <t>Thines</t>
        </is>
      </c>
      <c r="B6" s="10" t="n"/>
      <c r="C6" s="10" t="inlineStr">
        <is>
          <t>Pending</t>
        </is>
      </c>
      <c r="D6" s="10" t="n"/>
      <c r="E6" s="10" t="n"/>
      <c r="F6" s="10" t="inlineStr">
        <is>
          <t>Pending</t>
        </is>
      </c>
      <c r="G6" s="10" t="inlineStr">
        <is>
          <t>Pending</t>
        </is>
      </c>
      <c r="H6" s="13">
        <f>IF(OR(B6="",C6="Pending",D6="",E6="",F6="Pending",G6="Pending"),"Pending",IF(AND(B6&gt;=9,C6="Pass",D6&gt;=70,E6&gt;=80,F6="Pass",G6="Approved"),"Pass","Follow-up required"))</f>
        <v/>
      </c>
      <c r="I6" s="6" t="n"/>
      <c r="J6" s="11" t="n"/>
    </row>
    <row r="7" ht="60" customHeight="1">
      <c r="A7" s="17" t="inlineStr">
        <is>
          <t>Areez</t>
        </is>
      </c>
      <c r="B7" s="10" t="n"/>
      <c r="C7" s="10" t="inlineStr">
        <is>
          <t>Pending</t>
        </is>
      </c>
      <c r="D7" s="10" t="n"/>
      <c r="E7" s="10" t="n"/>
      <c r="F7" s="10" t="inlineStr">
        <is>
          <t>Pending</t>
        </is>
      </c>
      <c r="G7" s="10" t="inlineStr">
        <is>
          <t>Pending</t>
        </is>
      </c>
      <c r="H7" s="13">
        <f>IF(OR(B7="",C7="Pending",D7="",E7="",F7="Pending",G7="Pending"),"Pending",IF(AND(B7&gt;=9,C7="Pass",D7&gt;=70,E7&gt;=80,F7="Pass",G7="Approved"),"Pass","Follow-up required"))</f>
        <v/>
      </c>
      <c r="I7" s="6" t="n"/>
      <c r="J7" s="11" t="n"/>
    </row>
    <row r="8" ht="60" customHeight="1">
      <c r="A8" s="17" t="inlineStr">
        <is>
          <t>Farizal</t>
        </is>
      </c>
      <c r="B8" s="10" t="n"/>
      <c r="C8" s="10" t="inlineStr">
        <is>
          <t>Pending</t>
        </is>
      </c>
      <c r="D8" s="10" t="n"/>
      <c r="E8" s="10" t="n"/>
      <c r="F8" s="10" t="inlineStr">
        <is>
          <t>Pending</t>
        </is>
      </c>
      <c r="G8" s="10" t="inlineStr">
        <is>
          <t>Pending</t>
        </is>
      </c>
      <c r="H8" s="13">
        <f>IF(OR(B8="",C8="Pending",D8="",E8="",F8="Pending",G8="Pending"),"Pending",IF(AND(B8&gt;=9,C8="Pass",D8&gt;=70,E8&gt;=80,F8="Pass",G8="Approved"),"Pass","Follow-up required"))</f>
        <v/>
      </c>
      <c r="I8" s="6" t="n"/>
      <c r="J8" s="11" t="n"/>
    </row>
    <row r="9" ht="60" customHeight="1">
      <c r="A9" s="17" t="inlineStr">
        <is>
          <t>Darwin</t>
        </is>
      </c>
      <c r="B9" s="10" t="n"/>
      <c r="C9" s="10" t="inlineStr">
        <is>
          <t>Pending</t>
        </is>
      </c>
      <c r="D9" s="10" t="n"/>
      <c r="E9" s="10" t="n"/>
      <c r="F9" s="10" t="inlineStr">
        <is>
          <t>Pending</t>
        </is>
      </c>
      <c r="G9" s="10" t="inlineStr">
        <is>
          <t>Pending</t>
        </is>
      </c>
      <c r="H9" s="13">
        <f>IF(OR(B9="",C9="Pending",D9="",E9="",F9="Pending",G9="Pending"),"Pending",IF(AND(B9&gt;=9,C9="Pass",D9&gt;=70,E9&gt;=80,F9="Pass",G9="Approved"),"Pass","Follow-up required"))</f>
        <v/>
      </c>
      <c r="I9" s="6" t="n"/>
      <c r="J9" s="11" t="n"/>
    </row>
    <row r="10" ht="27" customHeight="1">
      <c r="A10" s="17" t="n"/>
      <c r="B10" s="17" t="n"/>
      <c r="C10" s="17" t="n"/>
      <c r="D10" s="17" t="n"/>
      <c r="E10" s="17" t="n"/>
      <c r="F10" s="17" t="n"/>
      <c r="G10" s="17" t="n"/>
      <c r="H10" s="17" t="n"/>
      <c r="I10" s="17" t="n"/>
      <c r="J10" s="17" t="n"/>
    </row>
    <row r="11" ht="27" customHeight="1">
      <c r="A11" s="17" t="n"/>
      <c r="B11" s="17" t="n"/>
      <c r="C11" s="17" t="n"/>
      <c r="D11" s="17" t="n"/>
      <c r="E11" s="17" t="n"/>
      <c r="F11" s="17" t="n"/>
      <c r="G11" s="17" t="n"/>
      <c r="H11" s="17" t="n"/>
      <c r="I11" s="17" t="n"/>
      <c r="J11" s="17" t="n"/>
    </row>
    <row r="12" ht="33.95" customHeight="1">
      <c r="A12" s="15" t="inlineStr">
        <is>
          <t>Practical task</t>
        </is>
      </c>
      <c r="B12" s="15" t="inlineStr">
        <is>
          <t>Max points</t>
        </is>
      </c>
      <c r="C12" s="15" t="inlineStr">
        <is>
          <t>Evidence</t>
        </is>
      </c>
      <c r="D12" s="15" t="inlineStr">
        <is>
          <t>Critical requirement</t>
        </is>
      </c>
      <c r="E12" s="17" t="n"/>
      <c r="F12" s="15" t="inlineStr">
        <is>
          <t>PROPOSED COMPLETION RULE</t>
        </is>
      </c>
    </row>
    <row r="13" ht="95.09999999999999" customHeight="1">
      <c r="A13" s="13" t="inlineStr">
        <is>
          <t>Server + application + IIS</t>
        </is>
      </c>
      <c r="B13" s="13" t="n">
        <v>20</v>
      </c>
      <c r="C13" s="13" t="inlineStr">
        <is>
          <t>Core / PlcDriver / MCS_IF start from clean baseline; UI URL opens from a test client</t>
        </is>
      </c>
      <c r="D13" s="13" t="inlineStr">
        <is>
          <t>Explain startup order and config / service dependencies</t>
        </is>
      </c>
      <c r="E13" s="17" t="n"/>
      <c r="F13" s="13" t="inlineStr">
        <is>
          <t>Attendance: at least 9 of 10 days; catch up any missed core module before sign-off.</t>
        </is>
      </c>
    </row>
    <row r="14" ht="95.09999999999999" customHeight="1">
      <c r="A14" s="13" t="inlineStr">
        <is>
          <t>Database CRUD + restore</t>
        </is>
      </c>
      <c r="B14" s="13" t="n">
        <v>20</v>
      </c>
      <c r="C14" s="13" t="inlineStr">
        <is>
          <t>DB built by script; vehicle and station records registered; backup taken and restore verified</t>
        </is>
      </c>
      <c r="D14" s="13" t="inlineStr">
        <is>
          <t>Backup before change; preserve unrelated data; restore successfully</t>
        </is>
      </c>
      <c r="E14" s="17" t="n"/>
      <c r="F14" s="13" t="inlineStr">
        <is>
          <t>Week 1 checkpoint passed; knowledge ≥70/100; practical ≥80/100.</t>
        </is>
      </c>
    </row>
    <row r="15" ht="95.09999999999999" customHeight="1">
      <c r="A15" s="13" t="inlineStr">
        <is>
          <t>Map change + rollback</t>
        </is>
      </c>
      <c r="B15" s="13" t="n">
        <v>15</v>
      </c>
      <c r="C15" s="13" t="inlineStr">
        <is>
          <t>Traffic setting or RDT map change applied via Layout &gt; MapLoad with BackupPath</t>
        </is>
      </c>
      <c r="D15" s="13" t="inlineStr">
        <is>
          <t>Verify connectivity (Layout &gt; Check) and demonstrate rollback</t>
        </is>
      </c>
      <c r="E15" s="17" t="n"/>
      <c r="F15" s="13" t="inlineStr">
        <is>
          <t>Critical checks: every critical requirement passed, including backup, rollback and recovery.</t>
        </is>
      </c>
    </row>
    <row r="16" ht="95.09999999999999" customHeight="1">
      <c r="A16" s="13" t="inlineStr">
        <is>
          <t>HSMS communication</t>
        </is>
      </c>
      <c r="B16" s="13" t="n">
        <v>15</v>
      </c>
      <c r="C16" s="13" t="inlineStr">
        <is>
          <t>Link to XCom simulator up to MCMD remote; S2F49 order traced in OrderList / HSMSHistory</t>
        </is>
      </c>
      <c r="D16" s="13" t="inlineStr">
        <is>
          <t>Explain communication checks and reconnect</t>
        </is>
      </c>
      <c r="E16" s="17" t="n"/>
      <c r="F16" s="13" t="inlineStr">
        <is>
          <t>Park Jae Min approves after reviewing tests, evidence and catch-up work.</t>
        </is>
      </c>
    </row>
    <row r="17" ht="95.09999999999999" customHeight="1">
      <c r="A17" s="13" t="inlineStr">
        <is>
          <t>Simulation + fault diagnosis</t>
        </is>
      </c>
      <c r="B17" s="13" t="n">
        <v>20</v>
      </c>
      <c r="C17" s="13" t="inlineStr">
        <is>
          <t>Test order completes in the simulator; root-cause evidence (log or screen) for a seeded fault</t>
        </is>
      </c>
      <c r="D17" s="13" t="inlineStr">
        <is>
          <t>Name the first screen / log, diagnose and verify recovery</t>
        </is>
      </c>
      <c r="E17" s="17" t="n"/>
      <c r="F17" s="13" t="inlineStr">
        <is>
          <t>If criteria are unmet: record gaps, assign practice and agree a November retest date.</t>
        </is>
      </c>
    </row>
    <row r="18" ht="95.09999999999999" customHeight="1">
      <c r="A18" s="13" t="inlineStr">
        <is>
          <t>Handover + teach-back</t>
        </is>
      </c>
      <c r="B18" s="13" t="n">
        <v>10</v>
      </c>
      <c r="C18" s="13" t="inlineStr">
        <is>
          <t>Clear runbook and escalation record</t>
        </is>
      </c>
      <c r="D18" s="13" t="inlineStr">
        <is>
          <t>Explain what changed and show evidence</t>
        </is>
      </c>
      <c r="E18" s="17" t="n"/>
      <c r="F18" s="17" t="n"/>
      <c r="G18" s="17" t="n"/>
      <c r="H18" s="17" t="n"/>
      <c r="I18" s="17" t="n"/>
      <c r="J18" s="17" t="n"/>
    </row>
    <row r="19" ht="27" customHeight="1">
      <c r="A19" s="17" t="inlineStr">
        <is>
          <t>Total practical points</t>
        </is>
      </c>
      <c r="B19" s="17">
        <f>SUM(B13:B18)</f>
        <v/>
      </c>
      <c r="C19" s="17" t="n"/>
      <c r="D19" s="17" t="n"/>
      <c r="E19" s="17" t="n"/>
      <c r="F19" s="17" t="n"/>
      <c r="G19" s="17" t="n"/>
      <c r="H19" s="17" t="n"/>
      <c r="I19" s="17" t="n"/>
      <c r="J19" s="17" t="n"/>
    </row>
    <row r="20" ht="27" customHeight="1">
      <c r="A20" s="17" t="n"/>
      <c r="B20" s="17" t="n"/>
      <c r="C20" s="17" t="n"/>
      <c r="D20" s="17" t="n"/>
      <c r="E20" s="17" t="n"/>
      <c r="F20" s="17" t="n"/>
      <c r="G20" s="17" t="n"/>
      <c r="H20" s="17" t="n"/>
      <c r="I20" s="17" t="n"/>
      <c r="J20" s="17" t="n"/>
    </row>
    <row r="21" ht="27" customHeight="1">
      <c r="A21" s="17" t="n"/>
      <c r="B21" s="17" t="n"/>
      <c r="C21" s="17" t="n"/>
      <c r="D21" s="17" t="n"/>
      <c r="E21" s="17" t="n"/>
      <c r="F21" s="17" t="n"/>
      <c r="G21" s="17" t="n"/>
      <c r="H21" s="17" t="n"/>
      <c r="I21" s="17" t="n"/>
      <c r="J21" s="17" t="n"/>
    </row>
    <row r="22" ht="27" customHeight="1">
      <c r="A22" s="17" t="n"/>
      <c r="B22" s="17" t="n"/>
      <c r="C22" s="17" t="n"/>
      <c r="D22" s="17" t="n"/>
      <c r="E22" s="17" t="n"/>
      <c r="F22" s="17" t="n"/>
      <c r="G22" s="17" t="n"/>
      <c r="H22" s="17" t="n"/>
      <c r="I22" s="17" t="n"/>
      <c r="J22" s="17" t="n"/>
    </row>
    <row r="23" ht="27" customHeight="1">
      <c r="A23" s="17" t="n"/>
      <c r="B23" s="17" t="n"/>
      <c r="C23" s="17" t="n"/>
      <c r="D23" s="17" t="n"/>
      <c r="E23" s="17" t="n"/>
      <c r="F23" s="17" t="n"/>
      <c r="G23" s="17" t="n"/>
      <c r="H23" s="17" t="n"/>
      <c r="I23" s="17" t="n"/>
      <c r="J23" s="17" t="n"/>
    </row>
    <row r="24" ht="27" customHeight="1">
      <c r="A24" s="17" t="n"/>
      <c r="B24" s="17" t="n"/>
      <c r="C24" s="17" t="n"/>
      <c r="D24" s="17" t="n"/>
      <c r="E24" s="17" t="n"/>
      <c r="F24" s="17" t="n"/>
      <c r="G24" s="17" t="n"/>
      <c r="H24" s="17" t="n"/>
      <c r="I24" s="17" t="n"/>
      <c r="J24" s="17" t="n"/>
    </row>
    <row r="25" ht="27" customHeight="1">
      <c r="A25" s="17" t="n"/>
      <c r="B25" s="17" t="n"/>
      <c r="C25" s="17" t="n"/>
      <c r="D25" s="17" t="n"/>
      <c r="E25" s="17" t="n"/>
      <c r="F25" s="17" t="n"/>
      <c r="G25" s="17" t="n"/>
      <c r="H25" s="17" t="n"/>
      <c r="I25" s="17" t="n"/>
      <c r="J25" s="17" t="n"/>
    </row>
    <row r="26" ht="27" customHeight="1">
      <c r="A26" s="17" t="n"/>
      <c r="B26" s="17" t="n"/>
      <c r="C26" s="17" t="n"/>
      <c r="D26" s="17" t="n"/>
      <c r="E26" s="17" t="n"/>
      <c r="F26" s="17" t="n"/>
      <c r="G26" s="17" t="n"/>
      <c r="H26" s="17" t="n"/>
      <c r="I26" s="17" t="n"/>
      <c r="J26" s="17" t="n"/>
    </row>
    <row r="27" ht="27" customHeight="1">
      <c r="A27" s="17" t="n"/>
      <c r="B27" s="17" t="n"/>
      <c r="C27" s="17" t="n"/>
      <c r="D27" s="17" t="n"/>
      <c r="E27" s="17" t="n"/>
      <c r="F27" s="17" t="n"/>
      <c r="G27" s="17" t="n"/>
      <c r="H27" s="17" t="n"/>
      <c r="I27" s="17" t="n"/>
      <c r="J27" s="17" t="n"/>
    </row>
    <row r="28" ht="27" customHeight="1">
      <c r="A28" s="17" t="n"/>
      <c r="B28" s="17" t="n"/>
      <c r="C28" s="17" t="n"/>
      <c r="D28" s="17" t="n"/>
      <c r="E28" s="17" t="n"/>
      <c r="F28" s="17" t="n"/>
      <c r="G28" s="17" t="n"/>
      <c r="H28" s="17" t="n"/>
      <c r="I28" s="17" t="n"/>
      <c r="J28" s="17" t="n"/>
    </row>
  </sheetData>
  <mergeCells count="8">
    <mergeCell ref="F17:J17"/>
    <mergeCell ref="F15:J15"/>
    <mergeCell ref="F12:J12"/>
    <mergeCell ref="F16:J16"/>
    <mergeCell ref="A3:J3"/>
    <mergeCell ref="A2:J2"/>
    <mergeCell ref="F14:J14"/>
    <mergeCell ref="F13:J13"/>
  </mergeCells>
  <conditionalFormatting sqref="H6:H9">
    <cfRule type="containsText" priority="1" operator="containsText" dxfId="0" text="Follow-up"/>
  </conditionalFormatting>
  <dataValidations count="4">
    <dataValidation sqref="C6:C9 F6:F9" showDropDown="0" showInputMessage="0" showErrorMessage="0" allowBlank="0" type="list">
      <formula1>"Pending,Pass,Needs practice"</formula1>
    </dataValidation>
    <dataValidation sqref="G6:G9" showDropDown="0" showInputMessage="0" showErrorMessage="0" allowBlank="0" type="list">
      <formula1>"Pending,Approved,Not approved"</formula1>
    </dataValidation>
    <dataValidation sqref="D6:E9" showDropDown="0" showInputMessage="0" showErrorMessage="0" allowBlank="0" type="whole">
      <formula1>0</formula1>
      <formula2>100</formula2>
    </dataValidation>
    <dataValidation sqref="B6:B9" showDropDown="0" showInputMessage="0" showErrorMessage="0" allowBlank="0" type="whole">
      <formula1>0</formula1>
      <formula2>10</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2026-10-07T03:41:21Z</dcterms:created>
  <dcterms:modified xmlns:dcterms="http://purl.org/dc/terms/" xmlns:xsi="http://www.w3.org/2001/XMLSchema-instance" xsi:type="dcterms:W3CDTF">2026-10-08T07:38:31Z</dcterms:modified>
</cp:coreProperties>
</file>